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okedex" sheetId="2" state="visible" r:id="rId2"/>
    <sheet name="Shiny" sheetId="3" state="visible" r:id="rId3"/>
    <sheet name="XP" sheetId="4" state="visible" r:id="rId4"/>
    <sheet name="Medaglie" sheetId="5" state="visible" r:id="rId5"/>
    <sheet name="Battaglie" sheetId="6" state="visible" r:id="rId6"/>
    <sheet name="Leggendar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color rgb="00FFFFFF"/>
      <sz val="11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E8F5E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3" fillId="0" borderId="0" pivotButton="0" quotePrefix="0" xfId="0"/>
    <xf numFmtId="0" fontId="0" fillId="4" borderId="0" pivotButton="0" quotePrefix="0" xfId="0"/>
    <xf numFmtId="10" fontId="0" fillId="4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4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2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</cols>
  <sheetData>
    <row r="1">
      <c r="A1" s="1" t="inlineStr">
        <is>
          <t>POKEMON GO - TRACKER PROGRESSI</t>
        </is>
      </c>
    </row>
    <row r="3">
      <c r="A3" s="2" t="inlineStr">
        <is>
          <t>Risorsa</t>
        </is>
      </c>
      <c r="B3" s="2" t="inlineStr">
        <is>
          <t>Valore attuale</t>
        </is>
      </c>
      <c r="C3" s="2" t="inlineStr">
        <is>
          <t>Obiettivo</t>
        </is>
      </c>
      <c r="D3" s="2" t="inlineStr">
        <is>
          <t>Progresso %</t>
        </is>
      </c>
    </row>
    <row r="4">
      <c r="A4" s="3" t="inlineStr">
        <is>
          <t>Stardust</t>
        </is>
      </c>
      <c r="B4" s="4" t="n"/>
      <c r="C4" s="4" t="n"/>
      <c r="D4" s="5">
        <f>IF(C4=0,"",MIN(B4/C4,1))</f>
        <v/>
      </c>
    </row>
    <row r="5">
      <c r="A5" s="3" t="inlineStr">
        <is>
          <t>Poke Ball / Great / Ultra</t>
        </is>
      </c>
      <c r="B5" s="4" t="n"/>
      <c r="C5" s="4" t="n"/>
      <c r="D5" s="5">
        <f>IF(C5=0,"",MIN(B5/C5,1))</f>
        <v/>
      </c>
    </row>
    <row r="6">
      <c r="A6" s="3" t="inlineStr">
        <is>
          <t>Caramelle rare</t>
        </is>
      </c>
      <c r="B6" s="4" t="n"/>
      <c r="C6" s="4" t="n"/>
      <c r="D6" s="5">
        <f>IF(C6=0,"",MIN(B6/C6,1))</f>
        <v/>
      </c>
    </row>
    <row r="7">
      <c r="A7" s="3" t="inlineStr">
        <is>
          <t>Monete amicizia</t>
        </is>
      </c>
      <c r="B7" s="4" t="n"/>
      <c r="C7" s="4" t="n"/>
      <c r="D7" s="5">
        <f>IF(C7=0,"",MIN(B7/C7,1))</f>
        <v/>
      </c>
    </row>
    <row r="8">
      <c r="A8" s="3" t="inlineStr">
        <is>
          <t>Incubatrici</t>
        </is>
      </c>
      <c r="B8" s="4" t="n"/>
      <c r="C8" s="4" t="n"/>
      <c r="D8" s="5">
        <f>IF(C8=0,"",MIN(B8/C8,1))</f>
        <v/>
      </c>
    </row>
    <row r="9">
      <c r="A9" s="3" t="inlineStr">
        <is>
          <t>Pass Raid</t>
        </is>
      </c>
      <c r="B9" s="4" t="n"/>
      <c r="C9" s="4" t="n"/>
      <c r="D9" s="5">
        <f>IF(C9=0,"",MIN(B9/C9,1))</f>
        <v/>
      </c>
    </row>
    <row r="11">
      <c r="A11" s="6" t="inlineStr">
        <is>
          <t>RIEPILOGO POKEDEX</t>
        </is>
      </c>
    </row>
    <row r="12">
      <c r="A12" t="inlineStr">
        <is>
          <t>Totale catturati</t>
        </is>
      </c>
      <c r="B12" s="7">
        <f>SUM(Pokedex!C4:C12)</f>
        <v/>
      </c>
    </row>
    <row r="13">
      <c r="A13" t="inlineStr">
        <is>
          <t>Totale disponibili</t>
        </is>
      </c>
      <c r="B13" s="7">
        <f>SUM(Pokedex!B4:B12)</f>
        <v/>
      </c>
    </row>
    <row r="14">
      <c r="A14" t="inlineStr">
        <is>
          <t>Completamento globale</t>
        </is>
      </c>
      <c r="B14" s="8">
        <f>IF(B13=0,"",B12/B13)</f>
        <v/>
      </c>
    </row>
    <row r="16">
      <c r="A16" s="6" t="inlineStr">
        <is>
          <t>RIEPILOGO SHINY</t>
        </is>
      </c>
    </row>
    <row r="17">
      <c r="A17" t="inlineStr">
        <is>
          <t>Shiny totali registrati</t>
        </is>
      </c>
      <c r="B17" s="7">
        <f>COUNTA(Shiny!B4:B500)</f>
        <v/>
      </c>
    </row>
    <row r="18">
      <c r="A18" t="inlineStr">
        <is>
          <t>Shiny unici (specie diverse)</t>
        </is>
      </c>
      <c r="B18" s="7">
        <f>COUNTA(UNIQUE(FILTER(Shiny!B4:B500,Shiny!B4:B500&lt;&gt;"")))</f>
        <v/>
      </c>
    </row>
    <row r="20">
      <c r="A20" s="6" t="inlineStr">
        <is>
          <t>LIVELLO &amp; XP</t>
        </is>
      </c>
    </row>
    <row r="21">
      <c r="A21" t="inlineStr">
        <is>
          <t>XP totale (inserisci qui)</t>
        </is>
      </c>
      <c r="B21" s="9" t="n"/>
    </row>
    <row r="22">
      <c r="A22" t="inlineStr">
        <is>
          <t>Livello calcolato</t>
        </is>
      </c>
      <c r="B22" s="7">
        <f>IF(B21="","",_xlfn.XLOOKUP(B21,XP!B2:B51,XP!A2:A51,"",1,-1))</f>
        <v/>
      </c>
    </row>
    <row r="23">
      <c r="A23" t="inlineStr">
        <is>
          <t>XP verso prossimo livello</t>
        </is>
      </c>
      <c r="B23" s="7">
        <f>IF(B21="","",IF(B22&gt;=50,0,INDEX(XP!B2:B51,MATCH(B22,XP!A2:A51,0)+1)-B21))</f>
        <v/>
      </c>
    </row>
    <row r="24">
      <c r="A24" t="inlineStr">
        <is>
          <t>% progresso livello attuale</t>
        </is>
      </c>
      <c r="B24" s="10">
        <f>IF(OR(B21="",B22&gt;=50),"",IF(B22=1,B21/INDEX(XP!B2:B51,2),(B21-INDEX(XP!B2:B51,MATCH(B22,XP!A2:A51,0)))/(INDEX(XP!B2:B51,MATCH(B22,XP!A2:A51,0)+1)-INDEX(XP!B2:B51,MATCH(B22,XP!A2:A51,0)))))</f>
        <v/>
      </c>
    </row>
    <row r="26">
      <c r="A26" s="6" t="inlineStr">
        <is>
          <t>RAID &amp; GO BATTLE LEAGUE</t>
        </is>
      </c>
    </row>
    <row r="27">
      <c r="A27" t="inlineStr">
        <is>
          <t>Raid vinti</t>
        </is>
      </c>
      <c r="B27" s="7">
        <f>Battaglie!B4</f>
        <v/>
      </c>
    </row>
    <row r="28">
      <c r="A28" t="inlineStr">
        <is>
          <t>Raid persi</t>
        </is>
      </c>
      <c r="B28" s="7">
        <f>Battaglie!B5</f>
        <v/>
      </c>
    </row>
    <row r="29">
      <c r="A29" t="inlineStr">
        <is>
          <t>Win rate raid</t>
        </is>
      </c>
      <c r="B29" s="10">
        <f>Battaglie!D4</f>
        <v/>
      </c>
    </row>
    <row r="30">
      <c r="A30" t="inlineStr">
        <is>
          <t>Vittorie GBL</t>
        </is>
      </c>
      <c r="B30" s="7">
        <f>Battaglie!B8</f>
        <v/>
      </c>
    </row>
    <row r="31">
      <c r="A31" t="inlineStr">
        <is>
          <t>Sconfitte GBL</t>
        </is>
      </c>
      <c r="B31" s="7">
        <f>Battaglie!B9</f>
        <v/>
      </c>
    </row>
    <row r="32">
      <c r="A32" t="inlineStr">
        <is>
          <t>Win rate GBL</t>
        </is>
      </c>
      <c r="B32" s="10">
        <f>Battaglie!D8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8" customWidth="1" min="4" max="4"/>
    <col width="12" customWidth="1" min="5" max="5"/>
    <col width="14" customWidth="1" min="6" max="6"/>
    <col width="12" customWidth="1" min="7" max="7"/>
  </cols>
  <sheetData>
    <row r="1">
      <c r="A1" t="inlineStr">
        <is>
          <t>Inserisci manualmente i conteggi catturati/visti per ogni generazione.</t>
        </is>
      </c>
    </row>
    <row r="3">
      <c r="A3" s="2" t="inlineStr">
        <is>
          <t>Generazione</t>
        </is>
      </c>
      <c r="B3" s="2" t="inlineStr">
        <is>
          <t>Totale specie</t>
        </is>
      </c>
      <c r="C3" s="2" t="inlineStr">
        <is>
          <t>Catturati (inserisci)</t>
        </is>
      </c>
      <c r="D3" s="2" t="inlineStr">
        <is>
          <t>Visti (inserisci)</t>
        </is>
      </c>
      <c r="E3" s="2" t="inlineStr">
        <is>
          <t>Mancanti</t>
        </is>
      </c>
      <c r="F3" s="2" t="inlineStr">
        <is>
          <t>% Catturati</t>
        </is>
      </c>
      <c r="G3" s="2" t="inlineStr">
        <is>
          <t>% Visti</t>
        </is>
      </c>
    </row>
    <row r="4">
      <c r="A4" t="inlineStr">
        <is>
          <t>Gen 1 - Kanto</t>
        </is>
      </c>
      <c r="B4" t="n">
        <v>151</v>
      </c>
      <c r="C4" s="9" t="n"/>
      <c r="D4" s="9" t="n"/>
      <c r="E4" s="7">
        <f>B4-C4</f>
        <v/>
      </c>
      <c r="F4" s="10">
        <f>IF(B4=0,"",C4/B4)</f>
        <v/>
      </c>
      <c r="G4" s="10">
        <f>IF(B4=0,"",D4/B4)</f>
        <v/>
      </c>
    </row>
    <row r="5">
      <c r="A5" t="inlineStr">
        <is>
          <t>Gen 2 - Johto</t>
        </is>
      </c>
      <c r="B5" t="n">
        <v>100</v>
      </c>
      <c r="C5" s="9" t="n"/>
      <c r="D5" s="9" t="n"/>
      <c r="E5" s="7">
        <f>B5-C5</f>
        <v/>
      </c>
      <c r="F5" s="10">
        <f>IF(B5=0,"",C5/B5)</f>
        <v/>
      </c>
      <c r="G5" s="10">
        <f>IF(B5=0,"",D5/B5)</f>
        <v/>
      </c>
    </row>
    <row r="6">
      <c r="A6" t="inlineStr">
        <is>
          <t>Gen 3 - Hoenn</t>
        </is>
      </c>
      <c r="B6" t="n">
        <v>135</v>
      </c>
      <c r="C6" s="9" t="n"/>
      <c r="D6" s="9" t="n"/>
      <c r="E6" s="7">
        <f>B6-C6</f>
        <v/>
      </c>
      <c r="F6" s="10">
        <f>IF(B6=0,"",C6/B6)</f>
        <v/>
      </c>
      <c r="G6" s="10">
        <f>IF(B6=0,"",D6/B6)</f>
        <v/>
      </c>
    </row>
    <row r="7">
      <c r="A7" t="inlineStr">
        <is>
          <t>Gen 4 - Sinnoh</t>
        </is>
      </c>
      <c r="B7" t="n">
        <v>107</v>
      </c>
      <c r="C7" s="9" t="n"/>
      <c r="D7" s="9" t="n"/>
      <c r="E7" s="7">
        <f>B7-C7</f>
        <v/>
      </c>
      <c r="F7" s="10">
        <f>IF(B7=0,"",C7/B7)</f>
        <v/>
      </c>
      <c r="G7" s="10">
        <f>IF(B7=0,"",D7/B7)</f>
        <v/>
      </c>
    </row>
    <row r="8">
      <c r="A8" t="inlineStr">
        <is>
          <t>Gen 5 - Unova</t>
        </is>
      </c>
      <c r="B8" t="n">
        <v>156</v>
      </c>
      <c r="C8" s="9" t="n"/>
      <c r="D8" s="9" t="n"/>
      <c r="E8" s="7">
        <f>B8-C8</f>
        <v/>
      </c>
      <c r="F8" s="10">
        <f>IF(B8=0,"",C8/B8)</f>
        <v/>
      </c>
      <c r="G8" s="10">
        <f>IF(B8=0,"",D8/B8)</f>
        <v/>
      </c>
    </row>
    <row r="9">
      <c r="A9" t="inlineStr">
        <is>
          <t>Gen 6 - Kalos</t>
        </is>
      </c>
      <c r="B9" t="n">
        <v>72</v>
      </c>
      <c r="C9" s="9" t="n"/>
      <c r="D9" s="9" t="n"/>
      <c r="E9" s="7">
        <f>B9-C9</f>
        <v/>
      </c>
      <c r="F9" s="10">
        <f>IF(B9=0,"",C9/B9)</f>
        <v/>
      </c>
      <c r="G9" s="10">
        <f>IF(B9=0,"",D9/B9)</f>
        <v/>
      </c>
    </row>
    <row r="10">
      <c r="A10" t="inlineStr">
        <is>
          <t>Gen 7 - Alola</t>
        </is>
      </c>
      <c r="B10" t="n">
        <v>88</v>
      </c>
      <c r="C10" s="9" t="n"/>
      <c r="D10" s="9" t="n"/>
      <c r="E10" s="7">
        <f>B10-C10</f>
        <v/>
      </c>
      <c r="F10" s="10">
        <f>IF(B10=0,"",C10/B10)</f>
        <v/>
      </c>
      <c r="G10" s="10">
        <f>IF(B10=0,"",D10/B10)</f>
        <v/>
      </c>
    </row>
    <row r="11">
      <c r="A11" t="inlineStr">
        <is>
          <t>Gen 8 - Galar</t>
        </is>
      </c>
      <c r="B11" t="n">
        <v>96</v>
      </c>
      <c r="C11" s="9" t="n"/>
      <c r="D11" s="9" t="n"/>
      <c r="E11" s="7">
        <f>B11-C11</f>
        <v/>
      </c>
      <c r="F11" s="10">
        <f>IF(B11=0,"",C11/B11)</f>
        <v/>
      </c>
      <c r="G11" s="10">
        <f>IF(B11=0,"",D11/B11)</f>
        <v/>
      </c>
    </row>
    <row r="12">
      <c r="A12" t="inlineStr">
        <is>
          <t>Gen 9 - Paldea</t>
        </is>
      </c>
      <c r="B12" t="n">
        <v>120</v>
      </c>
      <c r="C12" s="9" t="n"/>
      <c r="D12" s="9" t="n"/>
      <c r="E12" s="7">
        <f>B12-C12</f>
        <v/>
      </c>
      <c r="F12" s="10">
        <f>IF(B12=0,"",C12/B12)</f>
        <v/>
      </c>
      <c r="G12" s="10">
        <f>IF(B12=0,"",D12/B12)</f>
        <v/>
      </c>
    </row>
    <row r="13">
      <c r="A13" s="11" t="inlineStr">
        <is>
          <t>TOTALE</t>
        </is>
      </c>
      <c r="B13" s="12">
        <f>SUM(B4:B12)</f>
        <v/>
      </c>
      <c r="C13" s="12">
        <f>SUM(C4:C12)</f>
        <v/>
      </c>
      <c r="D13" s="12">
        <f>SUM(D4:D12)</f>
        <v/>
      </c>
      <c r="E13" s="12">
        <f>B13-C13</f>
        <v/>
      </c>
      <c r="F13" s="13">
        <f>IF(B13=0,"",C13/B13)</f>
        <v/>
      </c>
      <c r="G13" s="13">
        <f>IF(B13=0,"",D13/B13)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  <col width="24" customWidth="1" min="9" max="9"/>
    <col width="16" customWidth="1" min="11" max="11"/>
    <col width="12" customWidth="1" min="12" max="12"/>
  </cols>
  <sheetData>
    <row r="1">
      <c r="A1" t="inlineStr">
        <is>
          <t>Registro shiny: compila una riga per ogni shiny catturato. IV% calcolato automaticamente.</t>
        </is>
      </c>
    </row>
    <row r="3">
      <c r="A3" s="2" t="inlineStr">
        <is>
          <t>Data</t>
        </is>
      </c>
      <c r="B3" s="2" t="inlineStr">
        <is>
          <t>Pokemon</t>
        </is>
      </c>
      <c r="C3" s="2" t="inlineStr">
        <is>
          <t>CP</t>
        </is>
      </c>
      <c r="D3" s="2" t="inlineStr">
        <is>
          <t>IV Att</t>
        </is>
      </c>
      <c r="E3" s="2" t="inlineStr">
        <is>
          <t>IV Dif</t>
        </is>
      </c>
      <c r="F3" s="2" t="inlineStr">
        <is>
          <t>IV PS</t>
        </is>
      </c>
      <c r="G3" s="2" t="inlineStr">
        <is>
          <t>IV %</t>
        </is>
      </c>
      <c r="H3" s="2" t="inlineStr">
        <is>
          <t>Metodo</t>
        </is>
      </c>
      <c r="I3" s="2" t="inlineStr">
        <is>
          <t>Note</t>
        </is>
      </c>
      <c r="K3" s="11" t="inlineStr">
        <is>
          <t>Statistiche</t>
        </is>
      </c>
    </row>
    <row r="4">
      <c r="A4" s="9" t="n"/>
      <c r="B4" s="9" t="n"/>
      <c r="C4" s="9" t="n"/>
      <c r="D4" s="9" t="n"/>
      <c r="E4" s="9" t="n"/>
      <c r="F4" s="9" t="n"/>
      <c r="G4" s="10">
        <f>IF(OR(D4="",E4="",F4=""),"",(D4+E4+F4)/45)</f>
        <v/>
      </c>
      <c r="H4" s="9" t="n"/>
      <c r="I4" s="9" t="n"/>
      <c r="K4" t="inlineStr">
        <is>
          <t>Totale shiny</t>
        </is>
      </c>
      <c r="L4" s="7">
        <f>COUNTA(B4:B500)</f>
        <v/>
      </c>
    </row>
    <row r="5">
      <c r="A5" s="9" t="n"/>
      <c r="B5" s="9" t="n"/>
      <c r="C5" s="9" t="n"/>
      <c r="D5" s="9" t="n"/>
      <c r="E5" s="9" t="n"/>
      <c r="F5" s="9" t="n"/>
      <c r="G5" s="10">
        <f>IF(OR(D5="",E5="",F5=""),"",(D5+E5+F5)/45)</f>
        <v/>
      </c>
      <c r="H5" s="9" t="n"/>
      <c r="I5" s="9" t="n"/>
      <c r="K5" t="inlineStr">
        <is>
          <t>IV medio %</t>
        </is>
      </c>
      <c r="L5" s="10">
        <f>IFERROR(AVERAGE(G4:G500),"")</f>
        <v/>
      </c>
    </row>
    <row r="6">
      <c r="A6" s="9" t="n"/>
      <c r="B6" s="9" t="n"/>
      <c r="C6" s="9" t="n"/>
      <c r="D6" s="9" t="n"/>
      <c r="E6" s="9" t="n"/>
      <c r="F6" s="9" t="n"/>
      <c r="G6" s="10">
        <f>IF(OR(D6="",E6="",F6=""),"",(D6+E6+F6)/45)</f>
        <v/>
      </c>
      <c r="H6" s="9" t="n"/>
      <c r="I6" s="9" t="n"/>
      <c r="K6" t="inlineStr">
        <is>
          <t>Shiny perfetti (100%)</t>
        </is>
      </c>
      <c r="L6" s="7">
        <f>COUNTIF(G4:G500,1)</f>
        <v/>
      </c>
    </row>
    <row r="7">
      <c r="A7" s="9" t="n"/>
      <c r="B7" s="9" t="n"/>
      <c r="C7" s="9" t="n"/>
      <c r="D7" s="9" t="n"/>
      <c r="E7" s="9" t="n"/>
      <c r="F7" s="9" t="n"/>
      <c r="G7" s="10">
        <f>IF(OR(D7="",E7="",F7=""),"",(D7+E7+F7)/45)</f>
        <v/>
      </c>
      <c r="H7" s="9" t="n"/>
      <c r="I7" s="9" t="n"/>
    </row>
    <row r="8">
      <c r="A8" s="9" t="n"/>
      <c r="B8" s="9" t="n"/>
      <c r="C8" s="9" t="n"/>
      <c r="D8" s="9" t="n"/>
      <c r="E8" s="9" t="n"/>
      <c r="F8" s="9" t="n"/>
      <c r="G8" s="10">
        <f>IF(OR(D8="",E8="",F8=""),"",(D8+E8+F8)/45)</f>
        <v/>
      </c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10">
        <f>IF(OR(D9="",E9="",F9=""),"",(D9+E9+F9)/45)</f>
        <v/>
      </c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10">
        <f>IF(OR(D10="",E10="",F10=""),"",(D10+E10+F10)/45)</f>
        <v/>
      </c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10">
        <f>IF(OR(D11="",E11="",F11=""),"",(D11+E11+F11)/45)</f>
        <v/>
      </c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10">
        <f>IF(OR(D12="",E12="",F12=""),"",(D12+E12+F12)/45)</f>
        <v/>
      </c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10">
        <f>IF(OR(D13="",E13="",F13=""),"",(D13+E13+F13)/45)</f>
        <v/>
      </c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10">
        <f>IF(OR(D14="",E14="",F14=""),"",(D14+E14+F14)/45)</f>
        <v/>
      </c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10">
        <f>IF(OR(D15="",E15="",F15=""),"",(D15+E15+F15)/45)</f>
        <v/>
      </c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10">
        <f>IF(OR(D16="",E16="",F16=""),"",(D16+E16+F16)/45)</f>
        <v/>
      </c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10">
        <f>IF(OR(D17="",E17="",F17=""),"",(D17+E17+F17)/45)</f>
        <v/>
      </c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10">
        <f>IF(OR(D18="",E18="",F18=""),"",(D18+E18+F18)/45)</f>
        <v/>
      </c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10">
        <f>IF(OR(D19="",E19="",F19=""),"",(D19+E19+F19)/45)</f>
        <v/>
      </c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10">
        <f>IF(OR(D20="",E20="",F20=""),"",(D20+E20+F20)/45)</f>
        <v/>
      </c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10">
        <f>IF(OR(D21="",E21="",F21=""),"",(D21+E21+F21)/45)</f>
        <v/>
      </c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10">
        <f>IF(OR(D22="",E22="",F22=""),"",(D22+E22+F22)/45)</f>
        <v/>
      </c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10">
        <f>IF(OR(D23="",E23="",F23=""),"",(D23+E23+F23)/45)</f>
        <v/>
      </c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10">
        <f>IF(OR(D24="",E24="",F24=""),"",(D24+E24+F24)/45)</f>
        <v/>
      </c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10">
        <f>IF(OR(D25="",E25="",F25=""),"",(D25+E25+F25)/45)</f>
        <v/>
      </c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10">
        <f>IF(OR(D26="",E26="",F26=""),"",(D26+E26+F26)/45)</f>
        <v/>
      </c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10">
        <f>IF(OR(D27="",E27="",F27=""),"",(D27+E27+F27)/45)</f>
        <v/>
      </c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10">
        <f>IF(OR(D28="",E28="",F28=""),"",(D28+E28+F28)/45)</f>
        <v/>
      </c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10">
        <f>IF(OR(D29="",E29="",F29=""),"",(D29+E29+F29)/45)</f>
        <v/>
      </c>
      <c r="H29" s="9" t="n"/>
      <c r="I29" s="9" t="n"/>
    </row>
    <row r="30">
      <c r="A30" s="9" t="n"/>
      <c r="B30" s="9" t="n"/>
      <c r="C30" s="9" t="n"/>
      <c r="D30" s="9" t="n"/>
      <c r="E30" s="9" t="n"/>
      <c r="F30" s="9" t="n"/>
      <c r="G30" s="10">
        <f>IF(OR(D30="",E30="",F30=""),"",(D30+E30+F30)/45)</f>
        <v/>
      </c>
      <c r="H30" s="9" t="n"/>
      <c r="I30" s="9" t="n"/>
    </row>
    <row r="31">
      <c r="A31" s="9" t="n"/>
      <c r="B31" s="9" t="n"/>
      <c r="C31" s="9" t="n"/>
      <c r="D31" s="9" t="n"/>
      <c r="E31" s="9" t="n"/>
      <c r="F31" s="9" t="n"/>
      <c r="G31" s="10">
        <f>IF(OR(D31="",E31="",F31=""),"",(D31+E31+F31)/45)</f>
        <v/>
      </c>
      <c r="H31" s="9" t="n"/>
      <c r="I31" s="9" t="n"/>
    </row>
    <row r="32">
      <c r="A32" s="9" t="n"/>
      <c r="B32" s="9" t="n"/>
      <c r="C32" s="9" t="n"/>
      <c r="D32" s="9" t="n"/>
      <c r="E32" s="9" t="n"/>
      <c r="F32" s="9" t="n"/>
      <c r="G32" s="10">
        <f>IF(OR(D32="",E32="",F32=""),"",(D32+E32+F32)/45)</f>
        <v/>
      </c>
      <c r="H32" s="9" t="n"/>
      <c r="I32" s="9" t="n"/>
    </row>
    <row r="33">
      <c r="A33" s="9" t="n"/>
      <c r="B33" s="9" t="n"/>
      <c r="C33" s="9" t="n"/>
      <c r="D33" s="9" t="n"/>
      <c r="E33" s="9" t="n"/>
      <c r="F33" s="9" t="n"/>
      <c r="G33" s="10">
        <f>IF(OR(D33="",E33="",F33=""),"",(D33+E33+F33)/45)</f>
        <v/>
      </c>
      <c r="H33" s="9" t="n"/>
      <c r="I33" s="9" t="n"/>
    </row>
    <row r="34">
      <c r="A34" s="9" t="n"/>
      <c r="B34" s="9" t="n"/>
      <c r="C34" s="9" t="n"/>
      <c r="D34" s="9" t="n"/>
      <c r="E34" s="9" t="n"/>
      <c r="F34" s="9" t="n"/>
      <c r="G34" s="10">
        <f>IF(OR(D34="",E34="",F34=""),"",(D34+E34+F34)/45)</f>
        <v/>
      </c>
      <c r="H34" s="9" t="n"/>
      <c r="I34" s="9" t="n"/>
    </row>
    <row r="35">
      <c r="A35" s="9" t="n"/>
      <c r="B35" s="9" t="n"/>
      <c r="C35" s="9" t="n"/>
      <c r="D35" s="9" t="n"/>
      <c r="E35" s="9" t="n"/>
      <c r="F35" s="9" t="n"/>
      <c r="G35" s="10">
        <f>IF(OR(D35="",E35="",F35=""),"",(D35+E35+F35)/45)</f>
        <v/>
      </c>
      <c r="H35" s="9" t="n"/>
      <c r="I35" s="9" t="n"/>
    </row>
    <row r="36">
      <c r="A36" s="9" t="n"/>
      <c r="B36" s="9" t="n"/>
      <c r="C36" s="9" t="n"/>
      <c r="D36" s="9" t="n"/>
      <c r="E36" s="9" t="n"/>
      <c r="F36" s="9" t="n"/>
      <c r="G36" s="10">
        <f>IF(OR(D36="",E36="",F36=""),"",(D36+E36+F36)/45)</f>
        <v/>
      </c>
      <c r="H36" s="9" t="n"/>
      <c r="I36" s="9" t="n"/>
    </row>
    <row r="37">
      <c r="A37" s="9" t="n"/>
      <c r="B37" s="9" t="n"/>
      <c r="C37" s="9" t="n"/>
      <c r="D37" s="9" t="n"/>
      <c r="E37" s="9" t="n"/>
      <c r="F37" s="9" t="n"/>
      <c r="G37" s="10">
        <f>IF(OR(D37="",E37="",F37=""),"",(D37+E37+F37)/45)</f>
        <v/>
      </c>
      <c r="H37" s="9" t="n"/>
      <c r="I37" s="9" t="n"/>
    </row>
    <row r="38">
      <c r="A38" s="9" t="n"/>
      <c r="B38" s="9" t="n"/>
      <c r="C38" s="9" t="n"/>
      <c r="D38" s="9" t="n"/>
      <c r="E38" s="9" t="n"/>
      <c r="F38" s="9" t="n"/>
      <c r="G38" s="10">
        <f>IF(OR(D38="",E38="",F38=""),"",(D38+E38+F38)/45)</f>
        <v/>
      </c>
      <c r="H38" s="9" t="n"/>
      <c r="I38" s="9" t="n"/>
    </row>
    <row r="39">
      <c r="A39" s="9" t="n"/>
      <c r="B39" s="9" t="n"/>
      <c r="C39" s="9" t="n"/>
      <c r="D39" s="9" t="n"/>
      <c r="E39" s="9" t="n"/>
      <c r="F39" s="9" t="n"/>
      <c r="G39" s="10">
        <f>IF(OR(D39="",E39="",F39=""),"",(D39+E39+F39)/45)</f>
        <v/>
      </c>
      <c r="H39" s="9" t="n"/>
      <c r="I39" s="9" t="n"/>
    </row>
    <row r="40">
      <c r="A40" s="9" t="n"/>
      <c r="B40" s="9" t="n"/>
      <c r="C40" s="9" t="n"/>
      <c r="D40" s="9" t="n"/>
      <c r="E40" s="9" t="n"/>
      <c r="F40" s="9" t="n"/>
      <c r="G40" s="10">
        <f>IF(OR(D40="",E40="",F40=""),"",(D40+E40+F40)/45)</f>
        <v/>
      </c>
      <c r="H40" s="9" t="n"/>
      <c r="I40" s="9" t="n"/>
    </row>
    <row r="41">
      <c r="A41" s="9" t="n"/>
      <c r="B41" s="9" t="n"/>
      <c r="C41" s="9" t="n"/>
      <c r="D41" s="9" t="n"/>
      <c r="E41" s="9" t="n"/>
      <c r="F41" s="9" t="n"/>
      <c r="G41" s="10">
        <f>IF(OR(D41="",E41="",F41=""),"",(D41+E41+F41)/45)</f>
        <v/>
      </c>
      <c r="H41" s="9" t="n"/>
      <c r="I41" s="9" t="n"/>
    </row>
    <row r="42">
      <c r="A42" s="9" t="n"/>
      <c r="B42" s="9" t="n"/>
      <c r="C42" s="9" t="n"/>
      <c r="D42" s="9" t="n"/>
      <c r="E42" s="9" t="n"/>
      <c r="F42" s="9" t="n"/>
      <c r="G42" s="10">
        <f>IF(OR(D42="",E42="",F42=""),"",(D42+E42+F42)/45)</f>
        <v/>
      </c>
      <c r="H42" s="9" t="n"/>
      <c r="I42" s="9" t="n"/>
    </row>
    <row r="43">
      <c r="A43" s="9" t="n"/>
      <c r="B43" s="9" t="n"/>
      <c r="C43" s="9" t="n"/>
      <c r="D43" s="9" t="n"/>
      <c r="E43" s="9" t="n"/>
      <c r="F43" s="9" t="n"/>
      <c r="G43" s="10">
        <f>IF(OR(D43="",E43="",F43=""),"",(D43+E43+F43)/45)</f>
        <v/>
      </c>
      <c r="H43" s="9" t="n"/>
      <c r="I43" s="9" t="n"/>
    </row>
    <row r="44">
      <c r="A44" s="9" t="n"/>
      <c r="B44" s="9" t="n"/>
      <c r="C44" s="9" t="n"/>
      <c r="D44" s="9" t="n"/>
      <c r="E44" s="9" t="n"/>
      <c r="F44" s="9" t="n"/>
      <c r="G44" s="10">
        <f>IF(OR(D44="",E44="",F44=""),"",(D44+E44+F44)/45)</f>
        <v/>
      </c>
      <c r="H44" s="9" t="n"/>
      <c r="I44" s="9" t="n"/>
    </row>
    <row r="45">
      <c r="A45" s="9" t="n"/>
      <c r="B45" s="9" t="n"/>
      <c r="C45" s="9" t="n"/>
      <c r="D45" s="9" t="n"/>
      <c r="E45" s="9" t="n"/>
      <c r="F45" s="9" t="n"/>
      <c r="G45" s="10">
        <f>IF(OR(D45="",E45="",F45=""),"",(D45+E45+F45)/45)</f>
        <v/>
      </c>
      <c r="H45" s="9" t="n"/>
      <c r="I45" s="9" t="n"/>
    </row>
    <row r="46">
      <c r="A46" s="9" t="n"/>
      <c r="B46" s="9" t="n"/>
      <c r="C46" s="9" t="n"/>
      <c r="D46" s="9" t="n"/>
      <c r="E46" s="9" t="n"/>
      <c r="F46" s="9" t="n"/>
      <c r="G46" s="10">
        <f>IF(OR(D46="",E46="",F46=""),"",(D46+E46+F46)/45)</f>
        <v/>
      </c>
      <c r="H46" s="9" t="n"/>
      <c r="I46" s="9" t="n"/>
    </row>
    <row r="47">
      <c r="A47" s="9" t="n"/>
      <c r="B47" s="9" t="n"/>
      <c r="C47" s="9" t="n"/>
      <c r="D47" s="9" t="n"/>
      <c r="E47" s="9" t="n"/>
      <c r="F47" s="9" t="n"/>
      <c r="G47" s="10">
        <f>IF(OR(D47="",E47="",F47=""),"",(D47+E47+F47)/45)</f>
        <v/>
      </c>
      <c r="H47" s="9" t="n"/>
      <c r="I47" s="9" t="n"/>
    </row>
    <row r="48">
      <c r="A48" s="9" t="n"/>
      <c r="B48" s="9" t="n"/>
      <c r="C48" s="9" t="n"/>
      <c r="D48" s="9" t="n"/>
      <c r="E48" s="9" t="n"/>
      <c r="F48" s="9" t="n"/>
      <c r="G48" s="10">
        <f>IF(OR(D48="",E48="",F48=""),"",(D48+E48+F48)/45)</f>
        <v/>
      </c>
      <c r="H48" s="9" t="n"/>
      <c r="I48" s="9" t="n"/>
    </row>
    <row r="49">
      <c r="A49" s="9" t="n"/>
      <c r="B49" s="9" t="n"/>
      <c r="C49" s="9" t="n"/>
      <c r="D49" s="9" t="n"/>
      <c r="E49" s="9" t="n"/>
      <c r="F49" s="9" t="n"/>
      <c r="G49" s="10">
        <f>IF(OR(D49="",E49="",F49=""),"",(D49+E49+F49)/45)</f>
        <v/>
      </c>
      <c r="H49" s="9" t="n"/>
      <c r="I49" s="9" t="n"/>
    </row>
    <row r="50">
      <c r="A50" s="9" t="n"/>
      <c r="B50" s="9" t="n"/>
      <c r="C50" s="9" t="n"/>
      <c r="D50" s="9" t="n"/>
      <c r="E50" s="9" t="n"/>
      <c r="F50" s="9" t="n"/>
      <c r="G50" s="10">
        <f>IF(OR(D50="",E50="",F50=""),"",(D50+E50+F50)/45)</f>
        <v/>
      </c>
      <c r="H50" s="9" t="n"/>
      <c r="I50" s="9" t="n"/>
    </row>
    <row r="51">
      <c r="A51" s="9" t="n"/>
      <c r="B51" s="9" t="n"/>
      <c r="C51" s="9" t="n"/>
      <c r="D51" s="9" t="n"/>
      <c r="E51" s="9" t="n"/>
      <c r="F51" s="9" t="n"/>
      <c r="G51" s="10">
        <f>IF(OR(D51="",E51="",F51=""),"",(D51+E51+F51)/45)</f>
        <v/>
      </c>
      <c r="H51" s="9" t="n"/>
      <c r="I51" s="9" t="n"/>
    </row>
    <row r="52">
      <c r="A52" s="9" t="n"/>
      <c r="B52" s="9" t="n"/>
      <c r="C52" s="9" t="n"/>
      <c r="D52" s="9" t="n"/>
      <c r="E52" s="9" t="n"/>
      <c r="F52" s="9" t="n"/>
      <c r="G52" s="10">
        <f>IF(OR(D52="",E52="",F52=""),"",(D52+E52+F52)/45)</f>
        <v/>
      </c>
      <c r="H52" s="9" t="n"/>
      <c r="I52" s="9" t="n"/>
    </row>
    <row r="53">
      <c r="A53" s="9" t="n"/>
      <c r="B53" s="9" t="n"/>
      <c r="C53" s="9" t="n"/>
      <c r="D53" s="9" t="n"/>
      <c r="E53" s="9" t="n"/>
      <c r="F53" s="9" t="n"/>
      <c r="G53" s="10">
        <f>IF(OR(D53="",E53="",F53=""),"",(D53+E53+F53)/45)</f>
        <v/>
      </c>
      <c r="H53" s="9" t="n"/>
      <c r="I53" s="9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</cols>
  <sheetData>
    <row r="1">
      <c r="A1" s="2" t="inlineStr">
        <is>
          <t>Livello</t>
        </is>
      </c>
      <c r="B1" s="2" t="inlineStr">
        <is>
          <t>XP cumulativo richiesto</t>
        </is>
      </c>
      <c r="C1" s="2" t="inlineStr">
        <is>
          <t>XP per questo livello</t>
        </is>
      </c>
    </row>
    <row r="2">
      <c r="A2" s="3" t="n">
        <v>1</v>
      </c>
      <c r="B2" s="3" t="n">
        <v>0</v>
      </c>
      <c r="C2" s="3" t="n">
        <v>0</v>
      </c>
    </row>
    <row r="3">
      <c r="A3" s="3" t="n">
        <v>2</v>
      </c>
      <c r="B3" s="3" t="n">
        <v>2500</v>
      </c>
      <c r="C3" s="3">
        <f>B3-B2</f>
        <v/>
      </c>
    </row>
    <row r="4">
      <c r="A4" s="3" t="n">
        <v>3</v>
      </c>
      <c r="B4" s="3" t="n">
        <v>5000</v>
      </c>
      <c r="C4" s="3">
        <f>B4-B3</f>
        <v/>
      </c>
    </row>
    <row r="5">
      <c r="A5" s="3" t="n">
        <v>4</v>
      </c>
      <c r="B5" s="3" t="n">
        <v>7500</v>
      </c>
      <c r="C5" s="3">
        <f>B5-B4</f>
        <v/>
      </c>
    </row>
    <row r="6">
      <c r="A6" s="3" t="n">
        <v>5</v>
      </c>
      <c r="B6" s="3" t="n">
        <v>10000</v>
      </c>
      <c r="C6" s="3">
        <f>B6-B5</f>
        <v/>
      </c>
    </row>
    <row r="7">
      <c r="A7" s="3" t="n">
        <v>6</v>
      </c>
      <c r="B7" s="3" t="n">
        <v>15000</v>
      </c>
      <c r="C7" s="3">
        <f>B7-B6</f>
        <v/>
      </c>
    </row>
    <row r="8">
      <c r="A8" s="3" t="n">
        <v>7</v>
      </c>
      <c r="B8" s="3" t="n">
        <v>20000</v>
      </c>
      <c r="C8" s="3">
        <f>B8-B7</f>
        <v/>
      </c>
    </row>
    <row r="9">
      <c r="A9" s="3" t="n">
        <v>8</v>
      </c>
      <c r="B9" s="3" t="n">
        <v>25000</v>
      </c>
      <c r="C9" s="3">
        <f>B9-B8</f>
        <v/>
      </c>
    </row>
    <row r="10">
      <c r="A10" s="3" t="n">
        <v>9</v>
      </c>
      <c r="B10" s="3" t="n">
        <v>30000</v>
      </c>
      <c r="C10" s="3">
        <f>B10-B9</f>
        <v/>
      </c>
    </row>
    <row r="11">
      <c r="A11" s="3" t="n">
        <v>10</v>
      </c>
      <c r="B11" s="3" t="n">
        <v>35000</v>
      </c>
      <c r="C11" s="3">
        <f>B11-B10</f>
        <v/>
      </c>
    </row>
    <row r="12">
      <c r="A12" s="3" t="n">
        <v>11</v>
      </c>
      <c r="B12" s="3" t="n">
        <v>50000</v>
      </c>
      <c r="C12" s="3">
        <f>B12-B11</f>
        <v/>
      </c>
    </row>
    <row r="13">
      <c r="A13" s="3" t="n">
        <v>12</v>
      </c>
      <c r="B13" s="3" t="n">
        <v>75000</v>
      </c>
      <c r="C13" s="3">
        <f>B13-B12</f>
        <v/>
      </c>
    </row>
    <row r="14">
      <c r="A14" s="3" t="n">
        <v>13</v>
      </c>
      <c r="B14" s="3" t="n">
        <v>100000</v>
      </c>
      <c r="C14" s="3">
        <f>B14-B13</f>
        <v/>
      </c>
    </row>
    <row r="15">
      <c r="A15" s="3" t="n">
        <v>14</v>
      </c>
      <c r="B15" s="3" t="n">
        <v>150000</v>
      </c>
      <c r="C15" s="3">
        <f>B15-B14</f>
        <v/>
      </c>
    </row>
    <row r="16">
      <c r="A16" s="3" t="n">
        <v>15</v>
      </c>
      <c r="B16" s="3" t="n">
        <v>200000</v>
      </c>
      <c r="C16" s="3">
        <f>B16-B15</f>
        <v/>
      </c>
    </row>
    <row r="17">
      <c r="A17" s="3" t="n">
        <v>16</v>
      </c>
      <c r="B17" s="3" t="n">
        <v>250000</v>
      </c>
      <c r="C17" s="3">
        <f>B17-B16</f>
        <v/>
      </c>
    </row>
    <row r="18">
      <c r="A18" s="3" t="n">
        <v>17</v>
      </c>
      <c r="B18" s="3" t="n">
        <v>300000</v>
      </c>
      <c r="C18" s="3">
        <f>B18-B17</f>
        <v/>
      </c>
    </row>
    <row r="19">
      <c r="A19" s="3" t="n">
        <v>18</v>
      </c>
      <c r="B19" s="3" t="n">
        <v>350000</v>
      </c>
      <c r="C19" s="3">
        <f>B19-B18</f>
        <v/>
      </c>
    </row>
    <row r="20">
      <c r="A20" s="3" t="n">
        <v>19</v>
      </c>
      <c r="B20" s="3" t="n">
        <v>400000</v>
      </c>
      <c r="C20" s="3">
        <f>B20-B19</f>
        <v/>
      </c>
    </row>
    <row r="21">
      <c r="A21" s="3" t="n">
        <v>20</v>
      </c>
      <c r="B21" s="3" t="n">
        <v>500000</v>
      </c>
      <c r="C21" s="3">
        <f>B21-B20</f>
        <v/>
      </c>
    </row>
    <row r="22">
      <c r="A22" s="3" t="n">
        <v>21</v>
      </c>
      <c r="B22" s="3" t="n">
        <v>600000</v>
      </c>
      <c r="C22" s="3">
        <f>B22-B21</f>
        <v/>
      </c>
    </row>
    <row r="23">
      <c r="A23" s="3" t="n">
        <v>22</v>
      </c>
      <c r="B23" s="3" t="n">
        <v>700000</v>
      </c>
      <c r="C23" s="3">
        <f>B23-B22</f>
        <v/>
      </c>
    </row>
    <row r="24">
      <c r="A24" s="3" t="n">
        <v>23</v>
      </c>
      <c r="B24" s="3" t="n">
        <v>800000</v>
      </c>
      <c r="C24" s="3">
        <f>B24-B23</f>
        <v/>
      </c>
    </row>
    <row r="25">
      <c r="A25" s="3" t="n">
        <v>24</v>
      </c>
      <c r="B25" s="3" t="n">
        <v>900000</v>
      </c>
      <c r="C25" s="3">
        <f>B25-B24</f>
        <v/>
      </c>
    </row>
    <row r="26">
      <c r="A26" s="3" t="n">
        <v>25</v>
      </c>
      <c r="B26" s="3" t="n">
        <v>1000000</v>
      </c>
      <c r="C26" s="3">
        <f>B26-B25</f>
        <v/>
      </c>
    </row>
    <row r="27">
      <c r="A27" s="3" t="n">
        <v>26</v>
      </c>
      <c r="B27" s="3" t="n">
        <v>1250000</v>
      </c>
      <c r="C27" s="3">
        <f>B27-B26</f>
        <v/>
      </c>
    </row>
    <row r="28">
      <c r="A28" s="3" t="n">
        <v>27</v>
      </c>
      <c r="B28" s="3" t="n">
        <v>1500000</v>
      </c>
      <c r="C28" s="3">
        <f>B28-B27</f>
        <v/>
      </c>
    </row>
    <row r="29">
      <c r="A29" s="3" t="n">
        <v>28</v>
      </c>
      <c r="B29" s="3" t="n">
        <v>1750000</v>
      </c>
      <c r="C29" s="3">
        <f>B29-B28</f>
        <v/>
      </c>
    </row>
    <row r="30">
      <c r="A30" s="3" t="n">
        <v>29</v>
      </c>
      <c r="B30" s="3" t="n">
        <v>2000000</v>
      </c>
      <c r="C30" s="3">
        <f>B30-B29</f>
        <v/>
      </c>
    </row>
    <row r="31">
      <c r="A31" s="3" t="n">
        <v>30</v>
      </c>
      <c r="B31" s="3" t="n">
        <v>2500000</v>
      </c>
      <c r="C31" s="3">
        <f>B31-B30</f>
        <v/>
      </c>
    </row>
    <row r="32">
      <c r="A32" s="3" t="n">
        <v>31</v>
      </c>
      <c r="B32" s="3" t="n">
        <v>3000000</v>
      </c>
      <c r="C32" s="3">
        <f>B32-B31</f>
        <v/>
      </c>
    </row>
    <row r="33">
      <c r="A33" s="3" t="n">
        <v>32</v>
      </c>
      <c r="B33" s="3" t="n">
        <v>3500000</v>
      </c>
      <c r="C33" s="3">
        <f>B33-B32</f>
        <v/>
      </c>
    </row>
    <row r="34">
      <c r="A34" s="3" t="n">
        <v>33</v>
      </c>
      <c r="B34" s="3" t="n">
        <v>4000000</v>
      </c>
      <c r="C34" s="3">
        <f>B34-B33</f>
        <v/>
      </c>
    </row>
    <row r="35">
      <c r="A35" s="3" t="n">
        <v>34</v>
      </c>
      <c r="B35" s="3" t="n">
        <v>4500000</v>
      </c>
      <c r="C35" s="3">
        <f>B35-B34</f>
        <v/>
      </c>
    </row>
    <row r="36">
      <c r="A36" s="3" t="n">
        <v>35</v>
      </c>
      <c r="B36" s="3" t="n">
        <v>5000000</v>
      </c>
      <c r="C36" s="3">
        <f>B36-B35</f>
        <v/>
      </c>
    </row>
    <row r="37">
      <c r="A37" s="3" t="n">
        <v>36</v>
      </c>
      <c r="B37" s="3" t="n">
        <v>6000000</v>
      </c>
      <c r="C37" s="3">
        <f>B37-B36</f>
        <v/>
      </c>
    </row>
    <row r="38">
      <c r="A38" s="3" t="n">
        <v>37</v>
      </c>
      <c r="B38" s="3" t="n">
        <v>7000000</v>
      </c>
      <c r="C38" s="3">
        <f>B38-B37</f>
        <v/>
      </c>
    </row>
    <row r="39">
      <c r="A39" s="3" t="n">
        <v>38</v>
      </c>
      <c r="B39" s="3" t="n">
        <v>8000000</v>
      </c>
      <c r="C39" s="3">
        <f>B39-B38</f>
        <v/>
      </c>
    </row>
    <row r="40">
      <c r="A40" s="3" t="n">
        <v>39</v>
      </c>
      <c r="B40" s="3" t="n">
        <v>9000000</v>
      </c>
      <c r="C40" s="3">
        <f>B40-B39</f>
        <v/>
      </c>
    </row>
    <row r="41">
      <c r="A41" s="3" t="n">
        <v>40</v>
      </c>
      <c r="B41" s="3" t="n">
        <v>10000000</v>
      </c>
      <c r="C41" s="3">
        <f>B41-B40</f>
        <v/>
      </c>
    </row>
    <row r="42">
      <c r="A42" s="3" t="n">
        <v>41</v>
      </c>
      <c r="B42" s="3" t="n">
        <v>12000000</v>
      </c>
      <c r="C42" s="3">
        <f>B42-B41</f>
        <v/>
      </c>
    </row>
    <row r="43">
      <c r="A43" s="3" t="n">
        <v>42</v>
      </c>
      <c r="B43" s="3" t="n">
        <v>14000000</v>
      </c>
      <c r="C43" s="3">
        <f>B43-B42</f>
        <v/>
      </c>
    </row>
    <row r="44">
      <c r="A44" s="3" t="n">
        <v>43</v>
      </c>
      <c r="B44" s="3" t="n">
        <v>16000000</v>
      </c>
      <c r="C44" s="3">
        <f>B44-B43</f>
        <v/>
      </c>
    </row>
    <row r="45">
      <c r="A45" s="3" t="n">
        <v>44</v>
      </c>
      <c r="B45" s="3" t="n">
        <v>18000000</v>
      </c>
      <c r="C45" s="3">
        <f>B45-B44</f>
        <v/>
      </c>
    </row>
    <row r="46">
      <c r="A46" s="3" t="n">
        <v>45</v>
      </c>
      <c r="B46" s="3" t="n">
        <v>20000000</v>
      </c>
      <c r="C46" s="3">
        <f>B46-B45</f>
        <v/>
      </c>
    </row>
    <row r="47">
      <c r="A47" s="3" t="n">
        <v>46</v>
      </c>
      <c r="B47" s="3" t="n">
        <v>22500000</v>
      </c>
      <c r="C47" s="3">
        <f>B47-B46</f>
        <v/>
      </c>
    </row>
    <row r="48">
      <c r="A48" s="3" t="n">
        <v>47</v>
      </c>
      <c r="B48" s="3" t="n">
        <v>25000000</v>
      </c>
      <c r="C48" s="3">
        <f>B48-B47</f>
        <v/>
      </c>
    </row>
    <row r="49">
      <c r="A49" s="3" t="n">
        <v>48</v>
      </c>
      <c r="B49" s="3" t="n">
        <v>27500000</v>
      </c>
      <c r="C49" s="3">
        <f>B49-B48</f>
        <v/>
      </c>
    </row>
    <row r="50">
      <c r="A50" s="3" t="n">
        <v>49</v>
      </c>
      <c r="B50" s="3" t="n">
        <v>30000000</v>
      </c>
      <c r="C50" s="3">
        <f>B50-B49</f>
        <v/>
      </c>
    </row>
    <row r="51">
      <c r="A51" s="3" t="n">
        <v>50</v>
      </c>
      <c r="B51" s="3" t="n">
        <v>30000000</v>
      </c>
      <c r="C51" s="3">
        <f>B51-B50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</cols>
  <sheetData>
    <row r="1">
      <c r="A1" t="inlineStr">
        <is>
          <t>Inserisci progresso e soglie tier (Bronzo/Argento/Oro/Platino) per ogni medaglia.</t>
        </is>
      </c>
    </row>
    <row r="3">
      <c r="A3" s="2" t="inlineStr">
        <is>
          <t>Medaglia</t>
        </is>
      </c>
      <c r="B3" s="2" t="inlineStr">
        <is>
          <t>Progresso (inserisci)</t>
        </is>
      </c>
      <c r="C3" s="2" t="inlineStr">
        <is>
          <t>Bronzo</t>
        </is>
      </c>
      <c r="D3" s="2" t="inlineStr">
        <is>
          <t>Argento</t>
        </is>
      </c>
      <c r="E3" s="2" t="inlineStr">
        <is>
          <t>Oro</t>
        </is>
      </c>
      <c r="F3" s="2" t="inlineStr">
        <is>
          <t>Platino</t>
        </is>
      </c>
      <c r="G3" s="2" t="inlineStr">
        <is>
          <t>Tier attuale</t>
        </is>
      </c>
      <c r="H3" s="2" t="inlineStr">
        <is>
          <t>% verso prossimo</t>
        </is>
      </c>
    </row>
    <row r="4">
      <c r="A4" t="inlineStr">
        <is>
          <t>Collezionista</t>
        </is>
      </c>
      <c r="B4" s="9" t="n"/>
      <c r="C4" s="9" t="n"/>
      <c r="D4" s="9" t="n"/>
      <c r="E4" s="9" t="n"/>
      <c r="F4" s="9" t="n"/>
      <c r="G4" s="7">
        <f>IF(B4="","",IF(B4&gt;=F4,"Platino",IF(B4&gt;=E4,"Oro",IF(B4&gt;=D4,"Argento",IF(B4&gt;=C4,"Bronzo","Nessuno")))))</f>
        <v/>
      </c>
      <c r="H4" s="10">
        <f>IF(B4="","",IF(B4&gt;=F4,1,IF(B4&gt;=E4,(B4-E4)/(F4-E4),IF(B4&gt;=D4,(B4-D4)/(E4-D4),IF(B4&gt;=C4,(B4-C4)/(D4-C4),B4/C4)))))</f>
        <v/>
      </c>
    </row>
    <row r="5">
      <c r="A5" t="inlineStr">
        <is>
          <t>Breeder</t>
        </is>
      </c>
      <c r="B5" s="9" t="n"/>
      <c r="C5" s="9" t="n"/>
      <c r="D5" s="9" t="n"/>
      <c r="E5" s="9" t="n"/>
      <c r="F5" s="9" t="n"/>
      <c r="G5" s="7">
        <f>IF(B5="","",IF(B5&gt;=F5,"Platino",IF(B5&gt;=E5,"Oro",IF(B5&gt;=D5,"Argento",IF(B5&gt;=C5,"Bronzo","Nessuno")))))</f>
        <v/>
      </c>
      <c r="H5" s="10">
        <f>IF(B5="","",IF(B5&gt;=F5,1,IF(B5&gt;=E5,(B5-E5)/(F5-E5),IF(B5&gt;=D5,(B5-D5)/(E5-D5),IF(B5&gt;=C5,(B5-C5)/(D5-C5),B5/C5)))))</f>
        <v/>
      </c>
    </row>
    <row r="6">
      <c r="A6" t="inlineStr">
        <is>
          <t>Scienziato</t>
        </is>
      </c>
      <c r="B6" s="9" t="n"/>
      <c r="C6" s="9" t="n"/>
      <c r="D6" s="9" t="n"/>
      <c r="E6" s="9" t="n"/>
      <c r="F6" s="9" t="n"/>
      <c r="G6" s="7">
        <f>IF(B6="","",IF(B6&gt;=F6,"Platino",IF(B6&gt;=E6,"Oro",IF(B6&gt;=D6,"Argento",IF(B6&gt;=C6,"Bronzo","Nessuno")))))</f>
        <v/>
      </c>
      <c r="H6" s="10">
        <f>IF(B6="","",IF(B6&gt;=F6,1,IF(B6&gt;=E6,(B6-E6)/(F6-E6),IF(B6&gt;=D6,(B6-D6)/(E6-D6),IF(B6&gt;=C6,(B6-C6)/(D6-C6),B6/C6)))))</f>
        <v/>
      </c>
    </row>
    <row r="7">
      <c r="A7" t="inlineStr">
        <is>
          <t>Giovane</t>
        </is>
      </c>
      <c r="B7" s="9" t="n"/>
      <c r="C7" s="9" t="n"/>
      <c r="D7" s="9" t="n"/>
      <c r="E7" s="9" t="n"/>
      <c r="F7" s="9" t="n"/>
      <c r="G7" s="7">
        <f>IF(B7="","",IF(B7&gt;=F7,"Platino",IF(B7&gt;=E7,"Oro",IF(B7&gt;=D7,"Argento",IF(B7&gt;=C7,"Bronzo","Nessuno")))))</f>
        <v/>
      </c>
      <c r="H7" s="10">
        <f>IF(B7="","",IF(B7&gt;=F7,1,IF(B7&gt;=E7,(B7-E7)/(F7-E7),IF(B7&gt;=D7,(B7-D7)/(E7-D7),IF(B7&gt;=C7,(B7-C7)/(D7-C7),B7/C7)))))</f>
        <v/>
      </c>
    </row>
    <row r="8">
      <c r="A8" t="inlineStr">
        <is>
          <t>Pescatore</t>
        </is>
      </c>
      <c r="B8" s="9" t="n"/>
      <c r="C8" s="9" t="n"/>
      <c r="D8" s="9" t="n"/>
      <c r="E8" s="9" t="n"/>
      <c r="F8" s="9" t="n"/>
      <c r="G8" s="7">
        <f>IF(B8="","",IF(B8&gt;=F8,"Platino",IF(B8&gt;=E8,"Oro",IF(B8&gt;=D8,"Argento",IF(B8&gt;=C8,"Bronzo","Nessuno")))))</f>
        <v/>
      </c>
      <c r="H8" s="10">
        <f>IF(B8="","",IF(B8&gt;=F8,1,IF(B8&gt;=E8,(B8-E8)/(F8-E8),IF(B8&gt;=D8,(B8-D8)/(E8-D8),IF(B8&gt;=C8,(B8-C8)/(D8-C8),B8/C8)))))</f>
        <v/>
      </c>
    </row>
    <row r="9">
      <c r="A9" t="inlineStr">
        <is>
          <t>Giornalista</t>
        </is>
      </c>
      <c r="B9" s="9" t="n"/>
      <c r="C9" s="9" t="n"/>
      <c r="D9" s="9" t="n"/>
      <c r="E9" s="9" t="n"/>
      <c r="F9" s="9" t="n"/>
      <c r="G9" s="7">
        <f>IF(B9="","",IF(B9&gt;=F9,"Platino",IF(B9&gt;=E9,"Oro",IF(B9&gt;=D9,"Argento",IF(B9&gt;=C9,"Bronzo","Nessuno")))))</f>
        <v/>
      </c>
      <c r="H9" s="10">
        <f>IF(B9="","",IF(B9&gt;=F9,1,IF(B9&gt;=E9,(B9-E9)/(F9-E9),IF(B9&gt;=D9,(B9-D9)/(E9-D9),IF(B9&gt;=C9,(B9-C9)/(D9-C9),B9/C9)))))</f>
        <v/>
      </c>
    </row>
    <row r="10">
      <c r="A10" t="inlineStr">
        <is>
          <t>Gentiluomo</t>
        </is>
      </c>
      <c r="B10" s="9" t="n"/>
      <c r="C10" s="9" t="n"/>
      <c r="D10" s="9" t="n"/>
      <c r="E10" s="9" t="n"/>
      <c r="F10" s="9" t="n"/>
      <c r="G10" s="7">
        <f>IF(B10="","",IF(B10&gt;=F10,"Platino",IF(B10&gt;=E10,"Oro",IF(B10&gt;=D10,"Argento",IF(B10&gt;=C10,"Bronzo","Nessuno")))))</f>
        <v/>
      </c>
      <c r="H10" s="10">
        <f>IF(B10="","",IF(B10&gt;=F10,1,IF(B10&gt;=E10,(B10-E10)/(F10-E10),IF(B10&gt;=D10,(B10-D10)/(E10-D10),IF(B10&gt;=C10,(B10-C10)/(D10-C10),B10/C10)))))</f>
        <v/>
      </c>
    </row>
    <row r="11">
      <c r="A11" t="inlineStr">
        <is>
          <t>Pilot</t>
        </is>
      </c>
      <c r="B11" s="9" t="n"/>
      <c r="C11" s="9" t="n"/>
      <c r="D11" s="9" t="n"/>
      <c r="E11" s="9" t="n"/>
      <c r="F11" s="9" t="n"/>
      <c r="G11" s="7">
        <f>IF(B11="","",IF(B11&gt;=F11,"Platino",IF(B11&gt;=E11,"Oro",IF(B11&gt;=D11,"Argento",IF(B11&gt;=C11,"Bronzo","Nessuno")))))</f>
        <v/>
      </c>
      <c r="H11" s="10">
        <f>IF(B11="","",IF(B11&gt;=F11,1,IF(B11&gt;=E11,(B11-E11)/(F11-E11),IF(B11&gt;=D11,(B11-D11)/(E11-D11),IF(B11&gt;=C11,(B11-C11)/(D11-C11),B11/C11)))))</f>
        <v/>
      </c>
    </row>
    <row r="12">
      <c r="A12" t="inlineStr">
        <is>
          <t>Camper</t>
        </is>
      </c>
      <c r="B12" s="9" t="n"/>
      <c r="C12" s="9" t="n"/>
      <c r="D12" s="9" t="n"/>
      <c r="E12" s="9" t="n"/>
      <c r="F12" s="9" t="n"/>
      <c r="G12" s="7">
        <f>IF(B12="","",IF(B12&gt;=F12,"Platino",IF(B12&gt;=E12,"Oro",IF(B12&gt;=D12,"Argento",IF(B12&gt;=C12,"Bronzo","Nessuno")))))</f>
        <v/>
      </c>
      <c r="H12" s="10">
        <f>IF(B12="","",IF(B12&gt;=F12,1,IF(B12&gt;=E12,(B12-E12)/(F12-E12),IF(B12&gt;=D12,(B12-D12)/(E12-D12),IF(B12&gt;=C12,(B12-C12)/(D12-C12),B12/C12)))))</f>
        <v/>
      </c>
    </row>
    <row r="13">
      <c r="A13" t="inlineStr">
        <is>
          <t>Backpacker</t>
        </is>
      </c>
      <c r="B13" s="9" t="n"/>
      <c r="C13" s="9" t="n"/>
      <c r="D13" s="9" t="n"/>
      <c r="E13" s="9" t="n"/>
      <c r="F13" s="9" t="n"/>
      <c r="G13" s="7">
        <f>IF(B13="","",IF(B13&gt;=F13,"Platino",IF(B13&gt;=E13,"Oro",IF(B13&gt;=D13,"Argento",IF(B13&gt;=C13,"Bronzo","Nessuno")))))</f>
        <v/>
      </c>
      <c r="H13" s="10">
        <f>IF(B13="","",IF(B13&gt;=F13,1,IF(B13&gt;=E13,(B13-E13)/(F13-E13),IF(B13&gt;=D13,(B13-D13)/(E13-D13),IF(B13&gt;=C13,(B13-C13)/(D13-C13),B13/C13)))))</f>
        <v/>
      </c>
    </row>
    <row r="14">
      <c r="A14" t="inlineStr">
        <is>
          <t>Psicologo</t>
        </is>
      </c>
      <c r="B14" s="9" t="n"/>
      <c r="C14" s="9" t="n"/>
      <c r="D14" s="9" t="n"/>
      <c r="E14" s="9" t="n"/>
      <c r="F14" s="9" t="n"/>
      <c r="G14" s="7">
        <f>IF(B14="","",IF(B14&gt;=F14,"Platino",IF(B14&gt;=E14,"Oro",IF(B14&gt;=D14,"Argento",IF(B14&gt;=C14,"Bronzo","Nessuno")))))</f>
        <v/>
      </c>
      <c r="H14" s="10">
        <f>IF(B14="","",IF(B14&gt;=F14,1,IF(B14&gt;=E14,(B14-E14)/(F14-E14),IF(B14&gt;=D14,(B14-D14)/(E14-D14),IF(B14&gt;=C14,(B14-C14)/(D14-C14),B14/C14)))))</f>
        <v/>
      </c>
    </row>
    <row r="15">
      <c r="A15" t="inlineStr">
        <is>
          <t>Skier</t>
        </is>
      </c>
      <c r="B15" s="9" t="n"/>
      <c r="C15" s="9" t="n"/>
      <c r="D15" s="9" t="n"/>
      <c r="E15" s="9" t="n"/>
      <c r="F15" s="9" t="n"/>
      <c r="G15" s="7">
        <f>IF(B15="","",IF(B15&gt;=F15,"Platino",IF(B15&gt;=E15,"Oro",IF(B15&gt;=D15,"Argento",IF(B15&gt;=C15,"Bronzo","Nessuno")))))</f>
        <v/>
      </c>
      <c r="H15" s="10">
        <f>IF(B15="","",IF(B15&gt;=F15,1,IF(B15&gt;=E15,(B15-E15)/(F15-E15),IF(B15&gt;=D15,(B15-D15)/(E15-D15),IF(B15&gt;=C15,(B15-C15)/(D15-C15),B15/C15)))))</f>
        <v/>
      </c>
    </row>
    <row r="16">
      <c r="A16" t="inlineStr">
        <is>
          <t>Delinquent</t>
        </is>
      </c>
      <c r="B16" s="9" t="n"/>
      <c r="C16" s="9" t="n"/>
      <c r="D16" s="9" t="n"/>
      <c r="E16" s="9" t="n"/>
      <c r="F16" s="9" t="n"/>
      <c r="G16" s="7">
        <f>IF(B16="","",IF(B16&gt;=F16,"Platino",IF(B16&gt;=E16,"Oro",IF(B16&gt;=D16,"Argento",IF(B16&gt;=C16,"Bronzo","Nessuno")))))</f>
        <v/>
      </c>
      <c r="H16" s="10">
        <f>IF(B16="","",IF(B16&gt;=F16,1,IF(B16&gt;=E16,(B16-E16)/(F16-E16),IF(B16&gt;=D16,(B16-D16)/(E16-D16),IF(B16&gt;=C16,(B16-C16)/(D16-C16),B16/C16)))))</f>
        <v/>
      </c>
    </row>
    <row r="17">
      <c r="A17" t="inlineStr">
        <is>
          <t>Gardener</t>
        </is>
      </c>
      <c r="B17" s="9" t="n"/>
      <c r="C17" s="9" t="n"/>
      <c r="D17" s="9" t="n"/>
      <c r="E17" s="9" t="n"/>
      <c r="F17" s="9" t="n"/>
      <c r="G17" s="7">
        <f>IF(B17="","",IF(B17&gt;=F17,"Platino",IF(B17&gt;=E17,"Oro",IF(B17&gt;=D17,"Argento",IF(B17&gt;=C17,"Bronzo","Nessuno")))))</f>
        <v/>
      </c>
      <c r="H17" s="10">
        <f>IF(B17="","",IF(B17&gt;=F17,1,IF(B17&gt;=E17,(B17-E17)/(F17-E17),IF(B17&gt;=D17,(B17-D17)/(E17-D17),IF(B17&gt;=C17,(B17-C17)/(D17-C17),B17/C17)))))</f>
        <v/>
      </c>
    </row>
    <row r="18">
      <c r="A18" t="inlineStr">
        <is>
          <t>Idol</t>
        </is>
      </c>
      <c r="B18" s="9" t="n"/>
      <c r="C18" s="9" t="n"/>
      <c r="D18" s="9" t="n"/>
      <c r="E18" s="9" t="n"/>
      <c r="F18" s="9" t="n"/>
      <c r="G18" s="7">
        <f>IF(B18="","",IF(B18&gt;=F18,"Platino",IF(B18&gt;=E18,"Oro",IF(B18&gt;=D18,"Argento",IF(B18&gt;=C18,"Bronzo","Nessuno")))))</f>
        <v/>
      </c>
      <c r="H18" s="10">
        <f>IF(B18="","",IF(B18&gt;=F18,1,IF(B18&gt;=E18,(B18-E18)/(F18-E18),IF(B18&gt;=D18,(B18-D18)/(E18-D18),IF(B18&gt;=C18,(B18-C18)/(D18-C18),B18/C18)))))</f>
        <v/>
      </c>
    </row>
    <row r="19">
      <c r="A19" t="inlineStr">
        <is>
          <t>Great League Veteran</t>
        </is>
      </c>
      <c r="B19" s="9" t="n"/>
      <c r="C19" s="9" t="n"/>
      <c r="D19" s="9" t="n"/>
      <c r="E19" s="9" t="n"/>
      <c r="F19" s="9" t="n"/>
      <c r="G19" s="7">
        <f>IF(B19="","",IF(B19&gt;=F19,"Platino",IF(B19&gt;=E19,"Oro",IF(B19&gt;=D19,"Argento",IF(B19&gt;=C19,"Bronzo","Nessuno")))))</f>
        <v/>
      </c>
      <c r="H19" s="10">
        <f>IF(B19="","",IF(B19&gt;=F19,1,IF(B19&gt;=E19,(B19-E19)/(F19-E19),IF(B19&gt;=D19,(B19-D19)/(E19-D19),IF(B19&gt;=C19,(B19-C19)/(D19-C19),B19/C19)))))</f>
        <v/>
      </c>
    </row>
    <row r="20">
      <c r="A20" t="inlineStr">
        <is>
          <t>Ultra League Veteran</t>
        </is>
      </c>
      <c r="B20" s="9" t="n"/>
      <c r="C20" s="9" t="n"/>
      <c r="D20" s="9" t="n"/>
      <c r="E20" s="9" t="n"/>
      <c r="F20" s="9" t="n"/>
      <c r="G20" s="7">
        <f>IF(B20="","",IF(B20&gt;=F20,"Platino",IF(B20&gt;=E20,"Oro",IF(B20&gt;=D20,"Argento",IF(B20&gt;=C20,"Bronzo","Nessuno")))))</f>
        <v/>
      </c>
      <c r="H20" s="10">
        <f>IF(B20="","",IF(B20&gt;=F20,1,IF(B20&gt;=E20,(B20-E20)/(F20-E20),IF(B20&gt;=D20,(B20-D20)/(E20-D20),IF(B20&gt;=C20,(B20-C20)/(D20-C20),B20/C20)))))</f>
        <v/>
      </c>
    </row>
    <row r="21">
      <c r="A21" t="inlineStr">
        <is>
          <t>Master League Veteran</t>
        </is>
      </c>
      <c r="B21" s="9" t="n"/>
      <c r="C21" s="9" t="n"/>
      <c r="D21" s="9" t="n"/>
      <c r="E21" s="9" t="n"/>
      <c r="F21" s="9" t="n"/>
      <c r="G21" s="7">
        <f>IF(B21="","",IF(B21&gt;=F21,"Platino",IF(B21&gt;=E21,"Oro",IF(B21&gt;=D21,"Argento",IF(B21&gt;=C21,"Bronzo","Nessuno")))))</f>
        <v/>
      </c>
      <c r="H21" s="10">
        <f>IF(B21="","",IF(B21&gt;=F21,1,IF(B21&gt;=E21,(B21-E21)/(F21-E21),IF(B21&gt;=D21,(B21-D21)/(E21-D21),IF(B21&gt;=C21,(B21-C21)/(D21-C21),B21/C21)))))</f>
        <v/>
      </c>
    </row>
    <row r="22">
      <c r="A22" t="inlineStr">
        <is>
          <t>Battle Girl</t>
        </is>
      </c>
      <c r="B22" s="9" t="n"/>
      <c r="C22" s="9" t="n"/>
      <c r="D22" s="9" t="n"/>
      <c r="E22" s="9" t="n"/>
      <c r="F22" s="9" t="n"/>
      <c r="G22" s="7">
        <f>IF(B22="","",IF(B22&gt;=F22,"Platino",IF(B22&gt;=E22,"Oro",IF(B22&gt;=D22,"Argento",IF(B22&gt;=C22,"Bronzo","Nessuno")))))</f>
        <v/>
      </c>
      <c r="H22" s="10">
        <f>IF(B22="","",IF(B22&gt;=F22,1,IF(B22&gt;=E22,(B22-E22)/(F22-E22),IF(B22&gt;=D22,(B22-D22)/(E22-D22),IF(B22&gt;=C22,(B22-C22)/(D22-C22),B22/C22)))))</f>
        <v/>
      </c>
    </row>
    <row r="23">
      <c r="A23" t="inlineStr">
        <is>
          <t>Black Belt</t>
        </is>
      </c>
      <c r="B23" s="9" t="n"/>
      <c r="C23" s="9" t="n"/>
      <c r="D23" s="9" t="n"/>
      <c r="E23" s="9" t="n"/>
      <c r="F23" s="9" t="n"/>
      <c r="G23" s="7">
        <f>IF(B23="","",IF(B23&gt;=F23,"Platino",IF(B23&gt;=E23,"Oro",IF(B23&gt;=D23,"Argento",IF(B23&gt;=C23,"Bronzo","Nessuno")))))</f>
        <v/>
      </c>
      <c r="H23" s="10">
        <f>IF(B23="","",IF(B23&gt;=F23,1,IF(B23&gt;=E23,(B23-E23)/(F23-E23),IF(B23&gt;=D23,(B23-D23)/(E23-D23),IF(B23&gt;=C23,(B23-C23)/(D23-C23),B23/C23)))))</f>
        <v/>
      </c>
    </row>
    <row r="24">
      <c r="A24" t="inlineStr">
        <is>
          <t>Bird Keeper</t>
        </is>
      </c>
      <c r="B24" s="9" t="n"/>
      <c r="C24" s="9" t="n"/>
      <c r="D24" s="9" t="n"/>
      <c r="E24" s="9" t="n"/>
      <c r="F24" s="9" t="n"/>
      <c r="G24" s="7">
        <f>IF(B24="","",IF(B24&gt;=F24,"Platino",IF(B24&gt;=E24,"Oro",IF(B24&gt;=D24,"Argento",IF(B24&gt;=C24,"Bronzo","Nessuno")))))</f>
        <v/>
      </c>
      <c r="H24" s="10">
        <f>IF(B24="","",IF(B24&gt;=F24,1,IF(B24&gt;=E24,(B24-E24)/(F24-E24),IF(B24&gt;=D24,(B24-D24)/(E24-D24),IF(B24&gt;=C24,(B24-C24)/(D24-C24),B24/C24)))))</f>
        <v/>
      </c>
    </row>
    <row r="25">
      <c r="A25" t="inlineStr">
        <is>
          <t>Bug Catcher</t>
        </is>
      </c>
      <c r="B25" s="9" t="n"/>
      <c r="C25" s="9" t="n"/>
      <c r="D25" s="9" t="n"/>
      <c r="E25" s="9" t="n"/>
      <c r="F25" s="9" t="n"/>
      <c r="G25" s="7">
        <f>IF(B25="","",IF(B25&gt;=F25,"Platino",IF(B25&gt;=E25,"Oro",IF(B25&gt;=D25,"Argento",IF(B25&gt;=C25,"Bronzo","Nessuno")))))</f>
        <v/>
      </c>
      <c r="H25" s="10">
        <f>IF(B25="","",IF(B25&gt;=F25,1,IF(B25&gt;=E25,(B25-E25)/(F25-E25),IF(B25&gt;=D25,(B25-D25)/(E25-D25),IF(B25&gt;=C25,(B25-C25)/(D25-C25),B25/C25)))))</f>
        <v/>
      </c>
    </row>
    <row r="26">
      <c r="A26" t="inlineStr">
        <is>
          <t>Hex Maniac</t>
        </is>
      </c>
      <c r="B26" s="9" t="n"/>
      <c r="C26" s="9" t="n"/>
      <c r="D26" s="9" t="n"/>
      <c r="E26" s="9" t="n"/>
      <c r="F26" s="9" t="n"/>
      <c r="G26" s="7">
        <f>IF(B26="","",IF(B26&gt;=F26,"Platino",IF(B26&gt;=E26,"Oro",IF(B26&gt;=D26,"Argento",IF(B26&gt;=C26,"Bronzo","Nessuno")))))</f>
        <v/>
      </c>
      <c r="H26" s="10">
        <f>IF(B26="","",IF(B26&gt;=F26,1,IF(B26&gt;=E26,(B26-E26)/(F26-E26),IF(B26&gt;=D26,(B26-D26)/(E26-D26),IF(B26&gt;=C26,(B26-C26)/(D26-C26),B26/C26)))))</f>
        <v/>
      </c>
    </row>
    <row r="27">
      <c r="A27" t="inlineStr">
        <is>
          <t>Hiker</t>
        </is>
      </c>
      <c r="B27" s="9" t="n"/>
      <c r="C27" s="9" t="n"/>
      <c r="D27" s="9" t="n"/>
      <c r="E27" s="9" t="n"/>
      <c r="F27" s="9" t="n"/>
      <c r="G27" s="7">
        <f>IF(B27="","",IF(B27&gt;=F27,"Platino",IF(B27&gt;=E27,"Oro",IF(B27&gt;=D27,"Argento",IF(B27&gt;=C27,"Bronzo","Nessuno")))))</f>
        <v/>
      </c>
      <c r="H27" s="10">
        <f>IF(B27="","",IF(B27&gt;=F27,1,IF(B27&gt;=E27,(B27-E27)/(F27-E27),IF(B27&gt;=D27,(B27-D27)/(E27-D27),IF(B27&gt;=C27,(B27-C27)/(D27-C27),B27/C27)))))</f>
        <v/>
      </c>
    </row>
    <row r="28">
      <c r="A28" t="inlineStr">
        <is>
          <t>Kindler</t>
        </is>
      </c>
      <c r="B28" s="9" t="n"/>
      <c r="C28" s="9" t="n"/>
      <c r="D28" s="9" t="n"/>
      <c r="E28" s="9" t="n"/>
      <c r="F28" s="9" t="n"/>
      <c r="G28" s="7">
        <f>IF(B28="","",IF(B28&gt;=F28,"Platino",IF(B28&gt;=E28,"Oro",IF(B28&gt;=D28,"Argento",IF(B28&gt;=C28,"Bronzo","Nessuno")))))</f>
        <v/>
      </c>
      <c r="H28" s="10">
        <f>IF(B28="","",IF(B28&gt;=F28,1,IF(B28&gt;=E28,(B28-E28)/(F28-E28),IF(B28&gt;=D28,(B28-D28)/(E28-D28),IF(B28&gt;=C28,(B28-C28)/(D28-C28),B28/C28)))))</f>
        <v/>
      </c>
    </row>
    <row r="29">
      <c r="A29" t="inlineStr">
        <is>
          <t>Punk Girl</t>
        </is>
      </c>
      <c r="B29" s="9" t="n"/>
      <c r="C29" s="9" t="n"/>
      <c r="D29" s="9" t="n"/>
      <c r="E29" s="9" t="n"/>
      <c r="F29" s="9" t="n"/>
      <c r="G29" s="7">
        <f>IF(B29="","",IF(B29&gt;=F29,"Platino",IF(B29&gt;=E29,"Oro",IF(B29&gt;=D29,"Argento",IF(B29&gt;=C29,"Bronzo","Nessuno")))))</f>
        <v/>
      </c>
      <c r="H29" s="10">
        <f>IF(B29="","",IF(B29&gt;=F29,1,IF(B29&gt;=E29,(B29-E29)/(F29-E29),IF(B29&gt;=D29,(B29-D29)/(E29-D29),IF(B29&gt;=C29,(B29-C29)/(D29-C29),B29/C29)))))</f>
        <v/>
      </c>
    </row>
    <row r="30">
      <c r="A30" t="inlineStr">
        <is>
          <t>Schoolkid</t>
        </is>
      </c>
      <c r="B30" s="9" t="n"/>
      <c r="C30" s="9" t="n"/>
      <c r="D30" s="9" t="n"/>
      <c r="E30" s="9" t="n"/>
      <c r="F30" s="9" t="n"/>
      <c r="G30" s="7">
        <f>IF(B30="","",IF(B30&gt;=F30,"Platino",IF(B30&gt;=E30,"Oro",IF(B30&gt;=D30,"Argento",IF(B30&gt;=C30,"Bronzo","Nessuno")))))</f>
        <v/>
      </c>
      <c r="H30" s="10">
        <f>IF(B30="","",IF(B30&gt;=F30,1,IF(B30&gt;=E30,(B30-E30)/(F30-E30),IF(B30&gt;=D30,(B30-D30)/(E30-D30),IF(B30&gt;=C30,(B30-C30)/(D30-C30),B30/C30)))))</f>
        <v/>
      </c>
    </row>
    <row r="31">
      <c r="A31" t="inlineStr">
        <is>
          <t>Ruin Maniac</t>
        </is>
      </c>
      <c r="B31" s="9" t="n"/>
      <c r="C31" s="9" t="n"/>
      <c r="D31" s="9" t="n"/>
      <c r="E31" s="9" t="n"/>
      <c r="F31" s="9" t="n"/>
      <c r="G31" s="7">
        <f>IF(B31="","",IF(B31&gt;=F31,"Platino",IF(B31&gt;=E31,"Oro",IF(B31&gt;=D31,"Argento",IF(B31&gt;=C31,"Bronzo","Nessuno")))))</f>
        <v/>
      </c>
      <c r="H31" s="10">
        <f>IF(B31="","",IF(B31&gt;=F31,1,IF(B31&gt;=E31,(B31-E31)/(F31-E31),IF(B31&gt;=D31,(B31-D31)/(E31-D31),IF(B31&gt;=C31,(B31-C31)/(D31-C31),B31/C31)))))</f>
        <v/>
      </c>
    </row>
    <row r="32">
      <c r="A32" t="inlineStr">
        <is>
          <t>Rocker</t>
        </is>
      </c>
      <c r="B32" s="9" t="n"/>
      <c r="C32" s="9" t="n"/>
      <c r="D32" s="9" t="n"/>
      <c r="E32" s="9" t="n"/>
      <c r="F32" s="9" t="n"/>
      <c r="G32" s="7">
        <f>IF(B32="","",IF(B32&gt;=F32,"Platino",IF(B32&gt;=E32,"Oro",IF(B32&gt;=D32,"Argento",IF(B32&gt;=C32,"Bronzo","Nessuno")))))</f>
        <v/>
      </c>
      <c r="H32" s="10">
        <f>IF(B32="","",IF(B32&gt;=F32,1,IF(B32&gt;=E32,(B32-E32)/(F32-E32),IF(B32&gt;=D32,(B32-D32)/(E32-D32),IF(B32&gt;=C32,(B32-C32)/(D32-C32),B32/C32)))))</f>
        <v/>
      </c>
    </row>
    <row r="33">
      <c r="A33" t="inlineStr">
        <is>
          <t>Swimmer</t>
        </is>
      </c>
      <c r="B33" s="9" t="n"/>
      <c r="C33" s="9" t="n"/>
      <c r="D33" s="9" t="n"/>
      <c r="E33" s="9" t="n"/>
      <c r="F33" s="9" t="n"/>
      <c r="G33" s="7">
        <f>IF(B33="","",IF(B33&gt;=F33,"Platino",IF(B33&gt;=E33,"Oro",IF(B33&gt;=D33,"Argento",IF(B33&gt;=C33,"Bronzo","Nessuno")))))</f>
        <v/>
      </c>
      <c r="H33" s="10">
        <f>IF(B33="","",IF(B33&gt;=F33,1,IF(B33&gt;=E33,(B33-E33)/(F33-E33),IF(B33&gt;=D33,(B33-D33)/(E33-D33),IF(B33&gt;=C33,(B33-C33)/(D33-C33),B33/C33)))))</f>
        <v/>
      </c>
    </row>
    <row r="34">
      <c r="A34" t="inlineStr">
        <is>
          <t>Fairy Tale Girl</t>
        </is>
      </c>
      <c r="B34" s="9" t="n"/>
      <c r="C34" s="9" t="n"/>
      <c r="D34" s="9" t="n"/>
      <c r="E34" s="9" t="n"/>
      <c r="F34" s="9" t="n"/>
      <c r="G34" s="7">
        <f>IF(B34="","",IF(B34&gt;=F34,"Platino",IF(B34&gt;=E34,"Oro",IF(B34&gt;=D34,"Argento",IF(B34&gt;=C34,"Bronzo","Nessuno")))))</f>
        <v/>
      </c>
      <c r="H34" s="10">
        <f>IF(B34="","",IF(B34&gt;=F34,1,IF(B34&gt;=E34,(B34-E34)/(F34-E34),IF(B34&gt;=D34,(B34-D34)/(E34-D34),IF(B34&gt;=C34,(B34-C34)/(D34-C34),B34/C34)))))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6" t="inlineStr">
        <is>
          <t>Statistiche Raid e Go Battle League</t>
        </is>
      </c>
    </row>
    <row r="3">
      <c r="A3" s="11" t="inlineStr">
        <is>
          <t>RAID</t>
        </is>
      </c>
    </row>
    <row r="4">
      <c r="A4" t="inlineStr">
        <is>
          <t>Vittorie</t>
        </is>
      </c>
      <c r="B4" s="9" t="n"/>
      <c r="C4" t="inlineStr">
        <is>
          <t>Win rate</t>
        </is>
      </c>
      <c r="D4" s="10">
        <f>IF(B6=0,"",B4/B6)</f>
        <v/>
      </c>
    </row>
    <row r="5">
      <c r="A5" t="inlineStr">
        <is>
          <t>Sconfitte</t>
        </is>
      </c>
      <c r="B5" s="9" t="n"/>
    </row>
    <row r="6">
      <c r="A6" t="inlineStr">
        <is>
          <t>Totale</t>
        </is>
      </c>
      <c r="B6" s="7">
        <f>B4+B5</f>
        <v/>
      </c>
    </row>
    <row r="7">
      <c r="A7" t="inlineStr">
        <is>
          <t>Win rate</t>
        </is>
      </c>
    </row>
    <row r="8">
      <c r="B8">
        <f>B10</f>
        <v/>
      </c>
      <c r="D8" s="10">
        <f>IF(B12=0,"",B10/B12)</f>
        <v/>
      </c>
    </row>
    <row r="9">
      <c r="A9" s="11" t="inlineStr">
        <is>
          <t>GO BATTLE LEAGUE</t>
        </is>
      </c>
      <c r="B9">
        <f>B11</f>
        <v/>
      </c>
    </row>
    <row r="10">
      <c r="A10" t="inlineStr">
        <is>
          <t>Vittorie</t>
        </is>
      </c>
      <c r="B10" s="9" t="n"/>
      <c r="C10" t="inlineStr">
        <is>
          <t>Win rate</t>
        </is>
      </c>
      <c r="D10" s="10">
        <f>IF(B12=0,"",B10/B12)</f>
        <v/>
      </c>
    </row>
    <row r="11">
      <c r="A11" t="inlineStr">
        <is>
          <t>Sconfitte</t>
        </is>
      </c>
      <c r="B11" s="9" t="n"/>
    </row>
    <row r="12">
      <c r="A12" t="inlineStr">
        <is>
          <t>Totale</t>
        </is>
      </c>
      <c r="B12" s="7">
        <f>B10+B11</f>
        <v/>
      </c>
    </row>
    <row r="14">
      <c r="A14" s="11" t="inlineStr">
        <is>
          <t>BUDDY</t>
        </is>
      </c>
    </row>
    <row r="15">
      <c r="A15" t="inlineStr">
        <is>
          <t>Nome buddy</t>
        </is>
      </c>
      <c r="B15" s="9" t="n"/>
    </row>
    <row r="16">
      <c r="A16" t="inlineStr">
        <is>
          <t>Km percorsi</t>
        </is>
      </c>
      <c r="B16" s="9" t="n"/>
    </row>
    <row r="17">
      <c r="A17" t="inlineStr">
        <is>
          <t>Caramelle guadagnate</t>
        </is>
      </c>
      <c r="B17" s="9" t="n"/>
    </row>
    <row r="18">
      <c r="A18" t="inlineStr">
        <is>
          <t>Cuori</t>
        </is>
      </c>
      <c r="B18" s="9" t="n"/>
    </row>
    <row r="19">
      <c r="A19" t="inlineStr">
        <is>
          <t>Caramelle per km</t>
        </is>
      </c>
      <c r="B19" s="14">
        <f>IF(B16=0,"",B17/B16)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8" customWidth="1" min="4" max="4"/>
    <col width="18" customWidth="1" min="5" max="5"/>
    <col width="14" customWidth="1" min="6" max="6"/>
    <col width="10" customWidth="1" min="7" max="7"/>
    <col width="10" customWidth="1" min="8" max="8"/>
  </cols>
  <sheetData>
    <row r="1">
      <c r="A1" t="inlineStr">
        <is>
          <t>Traccia leggendari/mitici: inserisci S o N per catturato/shiny, tentativi e catture manualmente.</t>
        </is>
      </c>
    </row>
    <row r="3">
      <c r="A3" s="2" t="inlineStr">
        <is>
          <t>Pokemon</t>
        </is>
      </c>
      <c r="B3" s="2" t="inlineStr">
        <is>
          <t>Catturato (S/N)</t>
        </is>
      </c>
      <c r="C3" s="2" t="inlineStr">
        <is>
          <t>Shiny (S/N)</t>
        </is>
      </c>
      <c r="D3" s="2" t="inlineStr">
        <is>
          <t>IV %</t>
        </is>
      </c>
      <c r="E3" s="2" t="inlineStr">
        <is>
          <t>Data ultima cattura</t>
        </is>
      </c>
      <c r="F3" s="2" t="inlineStr">
        <is>
          <t>Tentativi raid</t>
        </is>
      </c>
      <c r="G3" s="2" t="inlineStr">
        <is>
          <t>Catture</t>
        </is>
      </c>
      <c r="H3" s="2" t="inlineStr">
        <is>
          <t>Win rate</t>
        </is>
      </c>
    </row>
    <row r="4">
      <c r="A4" t="inlineStr">
        <is>
          <t>Mewtwo</t>
        </is>
      </c>
      <c r="B4" s="9" t="n"/>
      <c r="C4" s="9" t="n"/>
      <c r="D4" s="9" t="n"/>
      <c r="E4" s="9" t="n"/>
      <c r="F4" s="9" t="n"/>
      <c r="G4" s="9" t="n"/>
      <c r="H4" s="10">
        <f>IF(OR(F4="",F4=0),"",G4/F4)</f>
        <v/>
      </c>
    </row>
    <row r="5">
      <c r="A5" t="inlineStr">
        <is>
          <t>Rayquaza</t>
        </is>
      </c>
      <c r="B5" s="9" t="n"/>
      <c r="C5" s="9" t="n"/>
      <c r="D5" s="9" t="n"/>
      <c r="E5" s="9" t="n"/>
      <c r="F5" s="9" t="n"/>
      <c r="G5" s="9" t="n"/>
      <c r="H5" s="10">
        <f>IF(OR(F5="",F5=0),"",G5/F5)</f>
        <v/>
      </c>
    </row>
    <row r="6">
      <c r="A6" t="inlineStr">
        <is>
          <t>Groudon</t>
        </is>
      </c>
      <c r="B6" s="9" t="n"/>
      <c r="C6" s="9" t="n"/>
      <c r="D6" s="9" t="n"/>
      <c r="E6" s="9" t="n"/>
      <c r="F6" s="9" t="n"/>
      <c r="G6" s="9" t="n"/>
      <c r="H6" s="10">
        <f>IF(OR(F6="",F6=0),"",G6/F6)</f>
        <v/>
      </c>
    </row>
    <row r="7">
      <c r="A7" t="inlineStr">
        <is>
          <t>Kyogre</t>
        </is>
      </c>
      <c r="B7" s="9" t="n"/>
      <c r="C7" s="9" t="n"/>
      <c r="D7" s="9" t="n"/>
      <c r="E7" s="9" t="n"/>
      <c r="F7" s="9" t="n"/>
      <c r="G7" s="9" t="n"/>
      <c r="H7" s="10">
        <f>IF(OR(F7="",F7=0),"",G7/F7)</f>
        <v/>
      </c>
    </row>
    <row r="8">
      <c r="A8" t="inlineStr">
        <is>
          <t>Dialga</t>
        </is>
      </c>
      <c r="B8" s="9" t="n"/>
      <c r="C8" s="9" t="n"/>
      <c r="D8" s="9" t="n"/>
      <c r="E8" s="9" t="n"/>
      <c r="F8" s="9" t="n"/>
      <c r="G8" s="9" t="n"/>
      <c r="H8" s="10">
        <f>IF(OR(F8="",F8=0),"",G8/F8)</f>
        <v/>
      </c>
    </row>
    <row r="9">
      <c r="A9" t="inlineStr">
        <is>
          <t>Palkia</t>
        </is>
      </c>
      <c r="B9" s="9" t="n"/>
      <c r="C9" s="9" t="n"/>
      <c r="D9" s="9" t="n"/>
      <c r="E9" s="9" t="n"/>
      <c r="F9" s="9" t="n"/>
      <c r="G9" s="9" t="n"/>
      <c r="H9" s="10">
        <f>IF(OR(F9="",F9=0),"",G9/F9)</f>
        <v/>
      </c>
    </row>
    <row r="10">
      <c r="A10" t="inlineStr">
        <is>
          <t>Giratina</t>
        </is>
      </c>
      <c r="B10" s="9" t="n"/>
      <c r="C10" s="9" t="n"/>
      <c r="D10" s="9" t="n"/>
      <c r="E10" s="9" t="n"/>
      <c r="F10" s="9" t="n"/>
      <c r="G10" s="9" t="n"/>
      <c r="H10" s="10">
        <f>IF(OR(F10="",F10=0),"",G10/F10)</f>
        <v/>
      </c>
    </row>
    <row r="11">
      <c r="A11" t="inlineStr">
        <is>
          <t>Reshiram</t>
        </is>
      </c>
      <c r="B11" s="9" t="n"/>
      <c r="C11" s="9" t="n"/>
      <c r="D11" s="9" t="n"/>
      <c r="E11" s="9" t="n"/>
      <c r="F11" s="9" t="n"/>
      <c r="G11" s="9" t="n"/>
      <c r="H11" s="10">
        <f>IF(OR(F11="",F11=0),"",G11/F11)</f>
        <v/>
      </c>
    </row>
    <row r="12">
      <c r="A12" t="inlineStr">
        <is>
          <t>Zekrom</t>
        </is>
      </c>
      <c r="B12" s="9" t="n"/>
      <c r="C12" s="9" t="n"/>
      <c r="D12" s="9" t="n"/>
      <c r="E12" s="9" t="n"/>
      <c r="F12" s="9" t="n"/>
      <c r="G12" s="9" t="n"/>
      <c r="H12" s="10">
        <f>IF(OR(F12="",F12=0),"",G12/F12)</f>
        <v/>
      </c>
    </row>
    <row r="13">
      <c r="A13" t="inlineStr">
        <is>
          <t>Kyurem</t>
        </is>
      </c>
      <c r="B13" s="9" t="n"/>
      <c r="C13" s="9" t="n"/>
      <c r="D13" s="9" t="n"/>
      <c r="E13" s="9" t="n"/>
      <c r="F13" s="9" t="n"/>
      <c r="G13" s="9" t="n"/>
      <c r="H13" s="10">
        <f>IF(OR(F13="",F13=0),"",G13/F13)</f>
        <v/>
      </c>
    </row>
    <row r="14">
      <c r="A14" t="inlineStr">
        <is>
          <t>Xerneas</t>
        </is>
      </c>
      <c r="B14" s="9" t="n"/>
      <c r="C14" s="9" t="n"/>
      <c r="D14" s="9" t="n"/>
      <c r="E14" s="9" t="n"/>
      <c r="F14" s="9" t="n"/>
      <c r="G14" s="9" t="n"/>
      <c r="H14" s="10">
        <f>IF(OR(F14="",F14=0),"",G14/F14)</f>
        <v/>
      </c>
    </row>
    <row r="15">
      <c r="A15" t="inlineStr">
        <is>
          <t>Yveltal</t>
        </is>
      </c>
      <c r="B15" s="9" t="n"/>
      <c r="C15" s="9" t="n"/>
      <c r="D15" s="9" t="n"/>
      <c r="E15" s="9" t="n"/>
      <c r="F15" s="9" t="n"/>
      <c r="G15" s="9" t="n"/>
      <c r="H15" s="10">
        <f>IF(OR(F15="",F15=0),"",G15/F15)</f>
        <v/>
      </c>
    </row>
    <row r="16">
      <c r="A16" t="inlineStr">
        <is>
          <t>Zygarde</t>
        </is>
      </c>
      <c r="B16" s="9" t="n"/>
      <c r="C16" s="9" t="n"/>
      <c r="D16" s="9" t="n"/>
      <c r="E16" s="9" t="n"/>
      <c r="F16" s="9" t="n"/>
      <c r="G16" s="9" t="n"/>
      <c r="H16" s="10">
        <f>IF(OR(F16="",F16=0),"",G16/F16)</f>
        <v/>
      </c>
    </row>
    <row r="17">
      <c r="A17" t="inlineStr">
        <is>
          <t>Solgaleo</t>
        </is>
      </c>
      <c r="B17" s="9" t="n"/>
      <c r="C17" s="9" t="n"/>
      <c r="D17" s="9" t="n"/>
      <c r="E17" s="9" t="n"/>
      <c r="F17" s="9" t="n"/>
      <c r="G17" s="9" t="n"/>
      <c r="H17" s="10">
        <f>IF(OR(F17="",F17=0),"",G17/F17)</f>
        <v/>
      </c>
    </row>
    <row r="18">
      <c r="A18" t="inlineStr">
        <is>
          <t>Lunala</t>
        </is>
      </c>
      <c r="B18" s="9" t="n"/>
      <c r="C18" s="9" t="n"/>
      <c r="D18" s="9" t="n"/>
      <c r="E18" s="9" t="n"/>
      <c r="F18" s="9" t="n"/>
      <c r="G18" s="9" t="n"/>
      <c r="H18" s="10">
        <f>IF(OR(F18="",F18=0),"",G18/F18)</f>
        <v/>
      </c>
    </row>
    <row r="19">
      <c r="A19" t="inlineStr">
        <is>
          <t>Necrozma</t>
        </is>
      </c>
      <c r="B19" s="9" t="n"/>
      <c r="C19" s="9" t="n"/>
      <c r="D19" s="9" t="n"/>
      <c r="E19" s="9" t="n"/>
      <c r="F19" s="9" t="n"/>
      <c r="G19" s="9" t="n"/>
      <c r="H19" s="10">
        <f>IF(OR(F19="",F19=0),"",G19/F19)</f>
        <v/>
      </c>
    </row>
    <row r="20">
      <c r="A20" t="inlineStr">
        <is>
          <t>Zacian</t>
        </is>
      </c>
      <c r="B20" s="9" t="n"/>
      <c r="C20" s="9" t="n"/>
      <c r="D20" s="9" t="n"/>
      <c r="E20" s="9" t="n"/>
      <c r="F20" s="9" t="n"/>
      <c r="G20" s="9" t="n"/>
      <c r="H20" s="10">
        <f>IF(OR(F20="",F20=0),"",G20/F20)</f>
        <v/>
      </c>
    </row>
    <row r="21">
      <c r="A21" t="inlineStr">
        <is>
          <t>Zamazenta</t>
        </is>
      </c>
      <c r="B21" s="9" t="n"/>
      <c r="C21" s="9" t="n"/>
      <c r="D21" s="9" t="n"/>
      <c r="E21" s="9" t="n"/>
      <c r="F21" s="9" t="n"/>
      <c r="G21" s="9" t="n"/>
      <c r="H21" s="10">
        <f>IF(OR(F21="",F21=0),"",G21/F21)</f>
        <v/>
      </c>
    </row>
    <row r="22">
      <c r="A22" t="inlineStr">
        <is>
          <t>Eternatus</t>
        </is>
      </c>
      <c r="B22" s="9" t="n"/>
      <c r="C22" s="9" t="n"/>
      <c r="D22" s="9" t="n"/>
      <c r="E22" s="9" t="n"/>
      <c r="F22" s="9" t="n"/>
      <c r="G22" s="9" t="n"/>
      <c r="H22" s="10">
        <f>IF(OR(F22="",F22=0),"",G22/F22)</f>
        <v/>
      </c>
    </row>
    <row r="23">
      <c r="A23" t="inlineStr">
        <is>
          <t>Calyrex</t>
        </is>
      </c>
      <c r="B23" s="9" t="n"/>
      <c r="C23" s="9" t="n"/>
      <c r="D23" s="9" t="n"/>
      <c r="E23" s="9" t="n"/>
      <c r="F23" s="9" t="n"/>
      <c r="G23" s="9" t="n"/>
      <c r="H23" s="10">
        <f>IF(OR(F23="",F23=0),"",G23/F23)</f>
        <v/>
      </c>
    </row>
    <row r="24">
      <c r="A24" t="inlineStr">
        <is>
          <t>Koraidon</t>
        </is>
      </c>
      <c r="B24" s="9" t="n"/>
      <c r="C24" s="9" t="n"/>
      <c r="D24" s="9" t="n"/>
      <c r="E24" s="9" t="n"/>
      <c r="F24" s="9" t="n"/>
      <c r="G24" s="9" t="n"/>
      <c r="H24" s="10">
        <f>IF(OR(F24="",F24=0),"",G24/F24)</f>
        <v/>
      </c>
    </row>
    <row r="25">
      <c r="A25" t="inlineStr">
        <is>
          <t>Miraidon</t>
        </is>
      </c>
      <c r="B25" s="9" t="n"/>
      <c r="C25" s="9" t="n"/>
      <c r="D25" s="9" t="n"/>
      <c r="E25" s="9" t="n"/>
      <c r="F25" s="9" t="n"/>
      <c r="G25" s="9" t="n"/>
      <c r="H25" s="10">
        <f>IF(OR(F25="",F25=0),"",G25/F25)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2026-08-26T08:33:51Z</dcterms:created>
  <dcterms:modified xsi:type="dcterms:W3CDTF">2026-08-26T08:33:51Z</dcterms:modified>
</cp:coreProperties>
</file>